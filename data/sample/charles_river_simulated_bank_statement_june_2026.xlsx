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3fabe6dde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" sheetId="1" r:id="R3e4f7fb204944216"/>
    <x:sheet xmlns:r="http://schemas.openxmlformats.org/officeDocument/2006/relationships" name="Read Me" sheetId="2" r:id="R42ad2d39c1dd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($#,##0.00);-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3"/>
      <x:color rgb="FF123B5D"/>
      <x:name val="Carlito"/>
    </x:font>
    <x:font>
      <x:b/>
      <x:sz val="11"/>
      <x:color rgb="FF3C4A57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2"/>
      <x:color rgb="FF123B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8F2"/>
      </x:patternFill>
    </x:fill>
  </x:fills>
  <x:borders count="3">
    <x:border/>
    <x:border>
      <x:bottom style="thin">
        <x:color rgb="FFD5DEE5"/>
      </x:bottom>
    </x:border>
    <x:border>
      <x:bottom style="hair">
        <x:color rgb="FFE7EDF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b92156e0b426e" /><Relationship Type="http://schemas.openxmlformats.org/officeDocument/2006/relationships/theme" Target="/xl/theme/theme1.xml" Id="R6383995ce62b4920" /><Relationship Type="http://schemas.openxmlformats.org/officeDocument/2006/relationships/sharedStrings" Target="/xl/sharedStrings.xml" Id="R79008a818713499c" /><Relationship Type="http://schemas.openxmlformats.org/officeDocument/2006/relationships/worksheet" Target="/xl/worksheets/sheet1.xml" Id="R3e4f7fb204944216" /><Relationship Type="http://schemas.openxmlformats.org/officeDocument/2006/relationships/worksheet" Target="/xl/worksheets/sheet2.xml" Id="R42ad2d39c1dd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52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Liberty Harbor Commercial Bank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5" t="str">
        <x:v>Commercial Checking Account Statement</x:v>
      </x:c>
      <x:c r="B2" s="5"/>
      <x:c r="C2" s="5"/>
      <x:c r="D2" s="5"/>
      <x:c r="E2" s="5"/>
      <x:c r="F2" s="5"/>
      <x:c r="G2" s="5"/>
      <x:c r="H2" s="5"/>
    </x:row>
    <x:row r="4">
      <x:c r="A4" s="6" t="str">
        <x:v>Account holder</x:v>
      </x:c>
      <x:c r="B4" s="7" t="str">
        <x:v>Charles River Home Furnishings, Inc.</x:v>
      </x:c>
      <x:c r="D4" s="6" t="str">
        <x:v>Total deposits</x:v>
      </x:c>
      <x:c r="E4" s="16" t="n">
        <x:f>SUM(F12:F2050)</x:f>
        <x:v>2596100.6999999997</x:v>
      </x:c>
    </x:row>
    <x:row r="5">
      <x:c r="A5" s="6" t="str">
        <x:v>Account number</x:v>
      </x:c>
      <x:c r="B5" s="7" t="str">
        <x:v>****4827</x:v>
      </x:c>
      <x:c r="D5" s="6" t="str">
        <x:v>Total withdrawals</x:v>
      </x:c>
      <x:c r="E5" s="16" t="n">
        <x:f>SUM(E12:E2050)</x:f>
        <x:v>2551251.0599999973</x:v>
      </x:c>
    </x:row>
    <x:row r="6">
      <x:c r="A6" s="6" t="str">
        <x:v>Statement period</x:v>
      </x:c>
      <x:c r="B6" s="7" t="str">
        <x:v>2026-06-01 through 2026-06-30</x:v>
      </x:c>
      <x:c r="D6" s="6" t="str">
        <x:v>Net activity</x:v>
      </x:c>
      <x:c r="E6" s="16" t="n">
        <x:f>E4-E5</x:f>
        <x:v>44849.64000000246</x:v>
      </x:c>
    </x:row>
    <x:row r="7">
      <x:c r="A7" s="6" t="str">
        <x:v>Opening balance</x:v>
      </x:c>
      <x:c r="B7" s="16" t="n">
        <x:v>9796869.89</x:v>
      </x:c>
      <x:c r="D7" s="6" t="str">
        <x:v>Closing balance</x:v>
      </x:c>
      <x:c r="E7" s="16" t="n">
        <x:f>H2050</x:f>
        <x:v>9841719.529999971</x:v>
      </x:c>
    </x:row>
    <x:row r="8">
      <x:c r="A8" s="8" t="str">
        <x:v>Transaction count</x:v>
      </x:c>
      <x:c r="B8" s="9" t="n">
        <x:v>2039</x:v>
      </x:c>
      <x:c r="D8" s="8" t="str">
        <x:v>Currency</x:v>
      </x:c>
      <x:c r="E8" s="9" t="str">
        <x:v>USD</x:v>
      </x:c>
    </x:row>
    <x:row r="11" ht="24" customHeight="1">
      <x:c r="A11" s="12" t="str">
        <x:v>Date</x:v>
      </x:c>
      <x:c r="B11" s="12" t="str">
        <x:v>Reference</x:v>
      </x:c>
      <x:c r="C11" s="12" t="str">
        <x:v>Description</x:v>
      </x:c>
      <x:c r="D11" s="12" t="str">
        <x:v>Transaction Type</x:v>
      </x:c>
      <x:c r="E11" s="12" t="str">
        <x:v>Withdrawals</x:v>
      </x:c>
      <x:c r="F11" s="12" t="str">
        <x:v>Deposits</x:v>
      </x:c>
      <x:c r="G11" s="12" t="str">
        <x:v>Net Amount</x:v>
      </x:c>
      <x:c r="H11" s="12" t="str">
        <x:v>Balance</x:v>
      </x:c>
    </x:row>
    <x:row r="12">
      <x:c r="A12" s="20" t="n">
        <x:v>46174</x:v>
      </x:c>
      <x:c r="B12" s="21" t="str">
        <x:v>CHK0025586</x:v>
      </x:c>
      <x:c r="C12" s="21" t="str">
        <x:v>CHECK PAYMENT - Hoffman LLC - DP-2026-025586</x:v>
      </x:c>
      <x:c r="D12" s="21" t="str">
        <x:v>Supplier payment</x:v>
      </x:c>
      <x:c r="E12" s="18" t="n">
        <x:v>244.18</x:v>
      </x:c>
      <x:c r="F12" s="18"/>
      <x:c r="G12" s="18" t="n">
        <x:v>-244.18</x:v>
      </x:c>
      <x:c r="H12" s="18" t="n">
        <x:f>$B$7+G12</x:f>
        <x:v>9796625.71</x:v>
      </x:c>
    </x:row>
    <x:row r="13">
      <x:c r="A13" s="20" t="n">
        <x:v>46174</x:v>
      </x:c>
      <x:c r="B13" s="21" t="str">
        <x:v>CHK0026745</x:v>
      </x:c>
      <x:c r="C13" s="21" t="str">
        <x:v>CHECK PAYMENT - Lucas, Green and Richardson - DP-2026-026745</x:v>
      </x:c>
      <x:c r="D13" s="21" t="str">
        <x:v>Supplier payment</x:v>
      </x:c>
      <x:c r="E13" s="18" t="n">
        <x:v>718.04</x:v>
      </x:c>
      <x:c r="F13" s="18"/>
      <x:c r="G13" s="18" t="n">
        <x:v>-718.04</x:v>
      </x:c>
      <x:c r="H13" s="18" t="n">
        <x:f>H12+G13</x:f>
        <x:v>9795907.670000002</x:v>
      </x:c>
    </x:row>
    <x:row r="14">
      <x:c r="A14" s="20" t="n">
        <x:v>46174</x:v>
      </x:c>
      <x:c r="B14" s="21" t="str">
        <x:v>CHK0026782</x:v>
      </x:c>
      <x:c r="C14" s="21" t="str">
        <x:v>CHECK PAYMENT - Goodwin, Walker and Scott - DP-2026-026782</x:v>
      </x:c>
      <x:c r="D14" s="21" t="str">
        <x:v>Supplier payment</x:v>
      </x:c>
      <x:c r="E14" s="18" t="n">
        <x:v>825.34</x:v>
      </x:c>
      <x:c r="F14" s="18"/>
      <x:c r="G14" s="18" t="n">
        <x:v>-825.34</x:v>
      </x:c>
      <x:c r="H14" s="18" t="n">
        <x:f>H13+G14</x:f>
        <x:v>9795082.330000002</x:v>
      </x:c>
    </x:row>
    <x:row r="15">
      <x:c r="A15" s="20" t="n">
        <x:v>46174</x:v>
      </x:c>
      <x:c r="B15" s="21" t="str">
        <x:v>CHK0026849</x:v>
      </x:c>
      <x:c r="C15" s="21" t="str">
        <x:v>CHECK PAYMENT - Lucas, Green and Richardson - DP-2026-026849</x:v>
      </x:c>
      <x:c r="D15" s="21" t="str">
        <x:v>Supplier payment</x:v>
      </x:c>
      <x:c r="E15" s="18" t="n">
        <x:v>357.37</x:v>
      </x:c>
      <x:c r="F15" s="18"/>
      <x:c r="G15" s="18" t="n">
        <x:v>-357.37</x:v>
      </x:c>
      <x:c r="H15" s="18" t="n">
        <x:f>H14+G15</x:f>
        <x:v>9794724.960000003</x:v>
      </x:c>
    </x:row>
    <x:row r="16">
      <x:c r="A16" s="20" t="n">
        <x:v>46174</x:v>
      </x:c>
      <x:c r="B16" s="21" t="str">
        <x:v>CHK0026921</x:v>
      </x:c>
      <x:c r="C16" s="21" t="str">
        <x:v>CHECK PAYMENT - Gomez PLC - DP-2026-026921</x:v>
      </x:c>
      <x:c r="D16" s="21" t="str">
        <x:v>Supplier payment</x:v>
      </x:c>
      <x:c r="E16" s="18" t="n">
        <x:v>629.14</x:v>
      </x:c>
      <x:c r="F16" s="18"/>
      <x:c r="G16" s="18" t="n">
        <x:v>-629.14</x:v>
      </x:c>
      <x:c r="H16" s="18" t="n">
        <x:f>H15+G16</x:f>
        <x:v>9794095.820000002</x:v>
      </x:c>
    </x:row>
    <x:row r="17">
      <x:c r="A17" s="20" t="n">
        <x:v>46174</x:v>
      </x:c>
      <x:c r="B17" s="21" t="str">
        <x:v>CHK0026923</x:v>
      </x:c>
      <x:c r="C17" s="21" t="str">
        <x:v>CHECK PAYMENT - Yang-Sandoval - DP-2026-026923</x:v>
      </x:c>
      <x:c r="D17" s="21" t="str">
        <x:v>Supplier payment</x:v>
      </x:c>
      <x:c r="E17" s="18" t="n">
        <x:v>766.92</x:v>
      </x:c>
      <x:c r="F17" s="18"/>
      <x:c r="G17" s="18" t="n">
        <x:v>-766.92</x:v>
      </x:c>
      <x:c r="H17" s="18" t="n">
        <x:f>H16+G17</x:f>
        <x:v>9793328.900000002</x:v>
      </x:c>
    </x:row>
    <x:row r="18">
      <x:c r="A18" s="20" t="n">
        <x:v>46174</x:v>
      </x:c>
      <x:c r="B18" s="21" t="str">
        <x:v>CHK0026931</x:v>
      </x:c>
      <x:c r="C18" s="21" t="str">
        <x:v>CHECK PAYMENT - Morrison-Smith - DP-2026-026931</x:v>
      </x:c>
      <x:c r="D18" s="21" t="str">
        <x:v>Supplier payment</x:v>
      </x:c>
      <x:c r="E18" s="18" t="n">
        <x:v>113.06</x:v>
      </x:c>
      <x:c r="F18" s="18"/>
      <x:c r="G18" s="18" t="n">
        <x:v>-113.06</x:v>
      </x:c>
      <x:c r="H18" s="18" t="n">
        <x:f>H17+G18</x:f>
        <x:v>9793215.840000002</x:v>
      </x:c>
    </x:row>
    <x:row r="19">
      <x:c r="A19" s="20" t="n">
        <x:v>46174</x:v>
      </x:c>
      <x:c r="B19" s="21" t="str">
        <x:v>CHK0026987</x:v>
      </x:c>
      <x:c r="C19" s="21" t="str">
        <x:v>CHECK PAYMENT - Bell, Pruitt and David - DP-2026-026987</x:v>
      </x:c>
      <x:c r="D19" s="21" t="str">
        <x:v>Supplier payment</x:v>
      </x:c>
      <x:c r="E19" s="18" t="n">
        <x:v>59.75</x:v>
      </x:c>
      <x:c r="F19" s="18"/>
      <x:c r="G19" s="18" t="n">
        <x:v>-59.75</x:v>
      </x:c>
      <x:c r="H19" s="18" t="n">
        <x:f>H18+G19</x:f>
        <x:v>9793156.090000002</x:v>
      </x:c>
    </x:row>
    <x:row r="20">
      <x:c r="A20" s="20" t="n">
        <x:v>46174</x:v>
      </x:c>
      <x:c r="B20" s="21" t="str">
        <x:v>CHK0026995</x:v>
      </x:c>
      <x:c r="C20" s="21" t="str">
        <x:v>CHECK PAYMENT - Berger, Stanley and Cooper - DP-2026-026995</x:v>
      </x:c>
      <x:c r="D20" s="21" t="str">
        <x:v>Supplier payment</x:v>
      </x:c>
      <x:c r="E20" s="18" t="n">
        <x:v>2045.16</x:v>
      </x:c>
      <x:c r="F20" s="18"/>
      <x:c r="G20" s="18" t="n">
        <x:v>-2045.16</x:v>
      </x:c>
      <x:c r="H20" s="18" t="n">
        <x:f>H19+G20</x:f>
        <x:v>9791110.930000002</x:v>
      </x:c>
    </x:row>
    <x:row r="21">
      <x:c r="A21" s="20" t="n">
        <x:v>46174</x:v>
      </x:c>
      <x:c r="B21" s="21" t="str">
        <x:v>CHK0026998</x:v>
      </x:c>
      <x:c r="C21" s="21" t="str">
        <x:v>CHECK PAYMENT - Bell, Pruitt and David - DP-2026-026998</x:v>
      </x:c>
      <x:c r="D21" s="21" t="str">
        <x:v>Supplier payment</x:v>
      </x:c>
      <x:c r="E21" s="18" t="n">
        <x:v>1121.53</x:v>
      </x:c>
      <x:c r="F21" s="18"/>
      <x:c r="G21" s="18" t="n">
        <x:v>-1121.53</x:v>
      </x:c>
      <x:c r="H21" s="18" t="n">
        <x:f>H20+G21</x:f>
        <x:v>9789989.400000002</x:v>
      </x:c>
    </x:row>
    <x:row r="22">
      <x:c r="A22" s="20" t="n">
        <x:v>46174</x:v>
      </x:c>
      <x:c r="B22" s="21" t="str">
        <x:v>CHK0027034</x:v>
      </x:c>
      <x:c r="C22" s="21" t="str">
        <x:v>CHECK PAYMENT - Simmons, Tucker and Huang - DP-2026-027034</x:v>
      </x:c>
      <x:c r="D22" s="21" t="str">
        <x:v>Supplier payment</x:v>
      </x:c>
      <x:c r="E22" s="18" t="n">
        <x:v>617.6</x:v>
      </x:c>
      <x:c r="F22" s="18"/>
      <x:c r="G22" s="18" t="n">
        <x:v>-617.6</x:v>
      </x:c>
      <x:c r="H22" s="18" t="n">
        <x:f>H21+G22</x:f>
        <x:v>9789371.800000003</x:v>
      </x:c>
    </x:row>
    <x:row r="23">
      <x:c r="A23" s="20" t="n">
        <x:v>46174</x:v>
      </x:c>
      <x:c r="B23" s="21" t="str">
        <x:v>CHK0027076</x:v>
      </x:c>
      <x:c r="C23" s="21" t="str">
        <x:v>CHECK PAYMENT - Hoffman LLC - DP-2026-027076</x:v>
      </x:c>
      <x:c r="D23" s="21" t="str">
        <x:v>Supplier payment</x:v>
      </x:c>
      <x:c r="E23" s="18" t="n">
        <x:v>235.3</x:v>
      </x:c>
      <x:c r="F23" s="18"/>
      <x:c r="G23" s="18" t="n">
        <x:v>-235.3</x:v>
      </x:c>
      <x:c r="H23" s="18" t="n">
        <x:f>H22+G23</x:f>
        <x:v>9789136.500000002</x:v>
      </x:c>
    </x:row>
    <x:row r="24">
      <x:c r="A24" s="20" t="n">
        <x:v>46174</x:v>
      </x:c>
      <x:c r="B24" s="21" t="str">
        <x:v>DP-2026-025580</x:v>
      </x:c>
      <x:c r="C24" s="21" t="str">
        <x:v>ACH PAYMENT - Hoffman LLC - DP-2026-025580</x:v>
      </x:c>
      <x:c r="D24" s="21" t="str">
        <x:v>Supplier payment</x:v>
      </x:c>
      <x:c r="E24" s="18" t="n">
        <x:v>735.32</x:v>
      </x:c>
      <x:c r="F24" s="18"/>
      <x:c r="G24" s="18" t="n">
        <x:v>-735.32</x:v>
      </x:c>
      <x:c r="H24" s="18" t="n">
        <x:f>H23+G24</x:f>
        <x:v>9788401.180000002</x:v>
      </x:c>
    </x:row>
    <x:row r="25">
      <x:c r="A25" s="20" t="n">
        <x:v>46174</x:v>
      </x:c>
      <x:c r="B25" s="21" t="str">
        <x:v>DP-2026-025581</x:v>
      </x:c>
      <x:c r="C25" s="21" t="str">
        <x:v>WIRE TRANSFER PAYMENT - Powell Inc - DP-2026-025581</x:v>
      </x:c>
      <x:c r="D25" s="21" t="str">
        <x:v>Supplier payment</x:v>
      </x:c>
      <x:c r="E25" s="18" t="n">
        <x:v>650.37</x:v>
      </x:c>
      <x:c r="F25" s="18"/>
      <x:c r="G25" s="18" t="n">
        <x:v>-650.37</x:v>
      </x:c>
      <x:c r="H25" s="18" t="n">
        <x:f>H24+G25</x:f>
        <x:v>9787750.810000002</x:v>
      </x:c>
    </x:row>
    <x:row r="26">
      <x:c r="A26" s="20" t="n">
        <x:v>46174</x:v>
      </x:c>
      <x:c r="B26" s="21" t="str">
        <x:v>DP-2026-025583</x:v>
      </x:c>
      <x:c r="C26" s="21" t="str">
        <x:v>ACH PAYMENT - Hernandez, Melendez and Mcdowell - DP-2026-025583</x:v>
      </x:c>
      <x:c r="D26" s="21" t="str">
        <x:v>Supplier payment</x:v>
      </x:c>
      <x:c r="E26" s="18" t="n">
        <x:v>1394.64</x:v>
      </x:c>
      <x:c r="F26" s="18"/>
      <x:c r="G26" s="18" t="n">
        <x:v>-1394.64</x:v>
      </x:c>
      <x:c r="H26" s="18" t="n">
        <x:f>H25+G26</x:f>
        <x:v>9786356.170000002</x:v>
      </x:c>
    </x:row>
    <x:row r="27">
      <x:c r="A27" s="20" t="n">
        <x:v>46174</x:v>
      </x:c>
      <x:c r="B27" s="21" t="str">
        <x:v>DP-2026-026762</x:v>
      </x:c>
      <x:c r="C27" s="21" t="str">
        <x:v>WIRE TRANSFER PAYMENT - Bell, Pruitt and David - DP-2026-026762</x:v>
      </x:c>
      <x:c r="D27" s="21" t="str">
        <x:v>Supplier payment</x:v>
      </x:c>
      <x:c r="E27" s="18" t="n">
        <x:v>2759.35</x:v>
      </x:c>
      <x:c r="F27" s="18"/>
      <x:c r="G27" s="18" t="n">
        <x:v>-2759.35</x:v>
      </x:c>
      <x:c r="H27" s="18" t="n">
        <x:f>H26+G27</x:f>
        <x:v>9783596.820000002</x:v>
      </x:c>
    </x:row>
    <x:row r="28">
      <x:c r="A28" s="20" t="n">
        <x:v>46174</x:v>
      </x:c>
      <x:c r="B28" s="21" t="str">
        <x:v>DP-2026-026808</x:v>
      </x:c>
      <x:c r="C28" s="21" t="str">
        <x:v>WIRE TRANSFER PAYMENT - Arnold Ltd - DP-2026-026808</x:v>
      </x:c>
      <x:c r="D28" s="21" t="str">
        <x:v>Supplier payment</x:v>
      </x:c>
      <x:c r="E28" s="18" t="n">
        <x:v>86.57</x:v>
      </x:c>
      <x:c r="F28" s="18"/>
      <x:c r="G28" s="18" t="n">
        <x:v>-86.57</x:v>
      </x:c>
      <x:c r="H28" s="18" t="n">
        <x:f>H27+G28</x:f>
        <x:v>9783510.250000002</x:v>
      </x:c>
    </x:row>
    <x:row r="29">
      <x:c r="A29" s="20" t="n">
        <x:v>46174</x:v>
      </x:c>
      <x:c r="B29" s="21" t="str">
        <x:v>DP-2026-026823</x:v>
      </x:c>
      <x:c r="C29" s="21" t="str">
        <x:v>ACH PAYMENT - Villarreal, Mcdonald and Scott - DP-2026-026823</x:v>
      </x:c>
      <x:c r="D29" s="21" t="str">
        <x:v>Supplier payment</x:v>
      </x:c>
      <x:c r="E29" s="18" t="n">
        <x:v>277.83</x:v>
      </x:c>
      <x:c r="F29" s="18"/>
      <x:c r="G29" s="18" t="n">
        <x:v>-277.83</x:v>
      </x:c>
      <x:c r="H29" s="18" t="n">
        <x:f>H28+G29</x:f>
        <x:v>9783232.420000002</x:v>
      </x:c>
    </x:row>
    <x:row r="30">
      <x:c r="A30" s="20" t="n">
        <x:v>46174</x:v>
      </x:c>
      <x:c r="B30" s="21" t="str">
        <x:v>DP-2026-026826</x:v>
      </x:c>
      <x:c r="C30" s="21" t="str">
        <x:v>ACH PAYMENT - Watts-Strickland - DP-2026-026826</x:v>
      </x:c>
      <x:c r="D30" s="21" t="str">
        <x:v>Supplier payment</x:v>
      </x:c>
      <x:c r="E30" s="18" t="n">
        <x:v>423.97</x:v>
      </x:c>
      <x:c r="F30" s="18"/>
      <x:c r="G30" s="18" t="n">
        <x:v>-423.97</x:v>
      </x:c>
      <x:c r="H30" s="18" t="n">
        <x:f>H29+G30</x:f>
        <x:v>9782808.450000001</x:v>
      </x:c>
    </x:row>
    <x:row r="31">
      <x:c r="A31" s="20" t="n">
        <x:v>46174</x:v>
      </x:c>
      <x:c r="B31" s="21" t="str">
        <x:v>DP-2026-026833</x:v>
      </x:c>
      <x:c r="C31" s="21" t="str">
        <x:v>ACH PAYMENT - Velasquez-Baxter - DP-2026-026833</x:v>
      </x:c>
      <x:c r="D31" s="21" t="str">
        <x:v>Supplier payment</x:v>
      </x:c>
      <x:c r="E31" s="18" t="n">
        <x:v>66.27</x:v>
      </x:c>
      <x:c r="F31" s="18"/>
      <x:c r="G31" s="18" t="n">
        <x:v>-66.27</x:v>
      </x:c>
      <x:c r="H31" s="18" t="n">
        <x:f>H30+G31</x:f>
        <x:v>9782742.180000002</x:v>
      </x:c>
    </x:row>
    <x:row r="32">
      <x:c r="A32" s="20" t="n">
        <x:v>46174</x:v>
      </x:c>
      <x:c r="B32" s="21" t="str">
        <x:v>DP-2026-026870</x:v>
      </x:c>
      <x:c r="C32" s="21" t="str">
        <x:v>WIRE TRANSFER PAYMENT - Garcia Group - DP-2026-026870</x:v>
      </x:c>
      <x:c r="D32" s="21" t="str">
        <x:v>Supplier payment</x:v>
      </x:c>
      <x:c r="E32" s="18" t="n">
        <x:v>0.15</x:v>
      </x:c>
      <x:c r="F32" s="18"/>
      <x:c r="G32" s="18" t="n">
        <x:v>-0.15</x:v>
      </x:c>
      <x:c r="H32" s="18" t="n">
        <x:f>H31+G32</x:f>
        <x:v>9782742.030000001</x:v>
      </x:c>
    </x:row>
    <x:row r="33">
      <x:c r="A33" s="20" t="n">
        <x:v>46174</x:v>
      </x:c>
      <x:c r="B33" s="21" t="str">
        <x:v>DP-2026-026887</x:v>
      </x:c>
      <x:c r="C33" s="21" t="str">
        <x:v>ACH PAYMENT - Patterson-Smith - DP-2026-026887</x:v>
      </x:c>
      <x:c r="D33" s="21" t="str">
        <x:v>Supplier payment</x:v>
      </x:c>
      <x:c r="E33" s="18" t="n">
        <x:v>1393.43</x:v>
      </x:c>
      <x:c r="F33" s="18"/>
      <x:c r="G33" s="18" t="n">
        <x:v>-1393.43</x:v>
      </x:c>
      <x:c r="H33" s="18" t="n">
        <x:f>H32+G33</x:f>
        <x:v>9781348.600000001</x:v>
      </x:c>
    </x:row>
    <x:row r="34">
      <x:c r="A34" s="20" t="n">
        <x:v>46174</x:v>
      </x:c>
      <x:c r="B34" s="21" t="str">
        <x:v>DP-2026-026890</x:v>
      </x:c>
      <x:c r="C34" s="21" t="str">
        <x:v>ACH PAYMENT - Duncan-Dawson - DP-2026-026890</x:v>
      </x:c>
      <x:c r="D34" s="21" t="str">
        <x:v>Supplier payment</x:v>
      </x:c>
      <x:c r="E34" s="18" t="n">
        <x:v>916.85</x:v>
      </x:c>
      <x:c r="F34" s="18"/>
      <x:c r="G34" s="18" t="n">
        <x:v>-916.85</x:v>
      </x:c>
      <x:c r="H34" s="18" t="n">
        <x:f>H33+G34</x:f>
        <x:v>9780431.750000002</x:v>
      </x:c>
    </x:row>
    <x:row r="35">
      <x:c r="A35" s="20" t="n">
        <x:v>46174</x:v>
      </x:c>
      <x:c r="B35" s="21" t="str">
        <x:v>DP-2026-026946</x:v>
      </x:c>
      <x:c r="C35" s="21" t="str">
        <x:v>ACH PAYMENT - Bell, Pruitt and David - DP-2026-026946</x:v>
      </x:c>
      <x:c r="D35" s="21" t="str">
        <x:v>Supplier payment</x:v>
      </x:c>
      <x:c r="E35" s="18" t="n">
        <x:v>138.8</x:v>
      </x:c>
      <x:c r="F35" s="18"/>
      <x:c r="G35" s="18" t="n">
        <x:v>-138.8</x:v>
      </x:c>
      <x:c r="H35" s="18" t="n">
        <x:f>H34+G35</x:f>
        <x:v>9780292.950000001</x:v>
      </x:c>
    </x:row>
    <x:row r="36">
      <x:c r="A36" s="20" t="n">
        <x:v>46174</x:v>
      </x:c>
      <x:c r="B36" s="21" t="str">
        <x:v>DP-2026-026951</x:v>
      </x:c>
      <x:c r="C36" s="21" t="str">
        <x:v>ACH PAYMENT - Gardner-Shelton - DP-2026-026951</x:v>
      </x:c>
      <x:c r="D36" s="21" t="str">
        <x:v>Supplier payment</x:v>
      </x:c>
      <x:c r="E36" s="18" t="n">
        <x:v>297.68</x:v>
      </x:c>
      <x:c r="F36" s="18"/>
      <x:c r="G36" s="18" t="n">
        <x:v>-297.68</x:v>
      </x:c>
      <x:c r="H36" s="18" t="n">
        <x:f>H35+G36</x:f>
        <x:v>9779995.270000001</x:v>
      </x:c>
    </x:row>
    <x:row r="37">
      <x:c r="A37" s="20" t="n">
        <x:v>46174</x:v>
      </x:c>
      <x:c r="B37" s="21" t="str">
        <x:v>DP-2026-026952</x:v>
      </x:c>
      <x:c r="C37" s="21" t="str">
        <x:v>WIRE TRANSFER PAYMENT - Murphy, Williams and Sanders - DP-2026-026952</x:v>
      </x:c>
      <x:c r="D37" s="21" t="str">
        <x:v>Supplier payment</x:v>
      </x:c>
      <x:c r="E37" s="18" t="n">
        <x:v>412.72</x:v>
      </x:c>
      <x:c r="F37" s="18"/>
      <x:c r="G37" s="18" t="n">
        <x:v>-412.72</x:v>
      </x:c>
      <x:c r="H37" s="18" t="n">
        <x:f>H36+G37</x:f>
        <x:v>9779582.55</x:v>
      </x:c>
    </x:row>
    <x:row r="38">
      <x:c r="A38" s="20" t="n">
        <x:v>46174</x:v>
      </x:c>
      <x:c r="B38" s="21" t="str">
        <x:v>DP-2026-026953</x:v>
      </x:c>
      <x:c r="C38" s="21" t="str">
        <x:v>ACH PAYMENT - Morris, Anderson and Chang - DP-2026-026953</x:v>
      </x:c>
      <x:c r="D38" s="21" t="str">
        <x:v>Supplier payment</x:v>
      </x:c>
      <x:c r="E38" s="18" t="n">
        <x:v>250.68</x:v>
      </x:c>
      <x:c r="F38" s="18"/>
      <x:c r="G38" s="18" t="n">
        <x:v>-250.68</x:v>
      </x:c>
      <x:c r="H38" s="18" t="n">
        <x:f>H37+G38</x:f>
        <x:v>9779331.870000001</x:v>
      </x:c>
    </x:row>
    <x:row r="39">
      <x:c r="A39" s="20" t="n">
        <x:v>46174</x:v>
      </x:c>
      <x:c r="B39" s="21" t="str">
        <x:v>DP-2026-027007</x:v>
      </x:c>
      <x:c r="C39" s="21" t="str">
        <x:v>ACH PAYMENT - Powers-Daniels - DP-2026-027007</x:v>
      </x:c>
      <x:c r="D39" s="21" t="str">
        <x:v>Supplier payment</x:v>
      </x:c>
      <x:c r="E39" s="18" t="n">
        <x:v>661.99</x:v>
      </x:c>
      <x:c r="F39" s="18"/>
      <x:c r="G39" s="18" t="n">
        <x:v>-661.99</x:v>
      </x:c>
      <x:c r="H39" s="18" t="n">
        <x:f>H38+G39</x:f>
        <x:v>9778669.88</x:v>
      </x:c>
    </x:row>
    <x:row r="40">
      <x:c r="A40" s="20" t="n">
        <x:v>46174</x:v>
      </x:c>
      <x:c r="B40" s="21" t="str">
        <x:v>DP-2026-027016</x:v>
      </x:c>
      <x:c r="C40" s="21" t="str">
        <x:v>ACH PAYMENT - Velasquez-Baxter - DP-2026-027016</x:v>
      </x:c>
      <x:c r="D40" s="21" t="str">
        <x:v>Supplier payment</x:v>
      </x:c>
      <x:c r="E40" s="18" t="n">
        <x:v>38.45</x:v>
      </x:c>
      <x:c r="F40" s="18"/>
      <x:c r="G40" s="18" t="n">
        <x:v>-38.45</x:v>
      </x:c>
      <x:c r="H40" s="18" t="n">
        <x:f>H39+G40</x:f>
        <x:v>9778631.430000002</x:v>
      </x:c>
    </x:row>
    <x:row r="41">
      <x:c r="A41" s="20" t="n">
        <x:v>46174</x:v>
      </x:c>
      <x:c r="B41" s="21" t="str">
        <x:v>DP-2026-027028</x:v>
      </x:c>
      <x:c r="C41" s="21" t="str">
        <x:v>ACH PAYMENT - Berger, Stanley and Cooper - DP-2026-027028</x:v>
      </x:c>
      <x:c r="D41" s="21" t="str">
        <x:v>Supplier payment</x:v>
      </x:c>
      <x:c r="E41" s="18" t="n">
        <x:v>3825.96</x:v>
      </x:c>
      <x:c r="F41" s="18"/>
      <x:c r="G41" s="18" t="n">
        <x:v>-3825.96</x:v>
      </x:c>
      <x:c r="H41" s="18" t="n">
        <x:f>H40+G41</x:f>
        <x:v>9774805.47</x:v>
      </x:c>
    </x:row>
    <x:row r="42">
      <x:c r="A42" s="20" t="n">
        <x:v>46174</x:v>
      </x:c>
      <x:c r="B42" s="21" t="str">
        <x:v>DP-2026-027029</x:v>
      </x:c>
      <x:c r="C42" s="21" t="str">
        <x:v>ACH PAYMENT - House-Hodges - DP-2026-027029</x:v>
      </x:c>
      <x:c r="D42" s="21" t="str">
        <x:v>Supplier payment</x:v>
      </x:c>
      <x:c r="E42" s="18" t="n">
        <x:v>112.35</x:v>
      </x:c>
      <x:c r="F42" s="18"/>
      <x:c r="G42" s="18" t="n">
        <x:v>-112.35</x:v>
      </x:c>
      <x:c r="H42" s="18" t="n">
        <x:f>H41+G42</x:f>
        <x:v>9774693.120000001</x:v>
      </x:c>
    </x:row>
    <x:row r="43">
      <x:c r="A43" s="20" t="n">
        <x:v>46174</x:v>
      </x:c>
      <x:c r="B43" s="21" t="str">
        <x:v>DP-2026-027040</x:v>
      </x:c>
      <x:c r="C43" s="21" t="str">
        <x:v>ACH PAYMENT - Arnold Ltd - DP-2026-027040</x:v>
      </x:c>
      <x:c r="D43" s="21" t="str">
        <x:v>Supplier payment</x:v>
      </x:c>
      <x:c r="E43" s="18" t="n">
        <x:v>237.13</x:v>
      </x:c>
      <x:c r="F43" s="18"/>
      <x:c r="G43" s="18" t="n">
        <x:v>-237.13</x:v>
      </x:c>
      <x:c r="H43" s="18" t="n">
        <x:f>H42+G43</x:f>
        <x:v>9774455.99</x:v>
      </x:c>
    </x:row>
    <x:row r="44">
      <x:c r="A44" s="20" t="n">
        <x:v>46174</x:v>
      </x:c>
      <x:c r="B44" s="21" t="str">
        <x:v>DP-2026-027057</x:v>
      </x:c>
      <x:c r="C44" s="21" t="str">
        <x:v>ACH PAYMENT - Garcia Group - DP-2026-027057</x:v>
      </x:c>
      <x:c r="D44" s="21" t="str">
        <x:v>Supplier payment</x:v>
      </x:c>
      <x:c r="E44" s="18" t="n">
        <x:v>55.66</x:v>
      </x:c>
      <x:c r="F44" s="18"/>
      <x:c r="G44" s="18" t="n">
        <x:v>-55.66</x:v>
      </x:c>
      <x:c r="H44" s="18" t="n">
        <x:f>H43+G44</x:f>
        <x:v>9774400.33</x:v>
      </x:c>
    </x:row>
    <x:row r="45">
      <x:c r="A45" s="20" t="n">
        <x:v>46174</x:v>
      </x:c>
      <x:c r="B45" s="21" t="str">
        <x:v>DP-2026-027069</x:v>
      </x:c>
      <x:c r="C45" s="21" t="str">
        <x:v>ACH PAYMENT - Duran, Mccarthy and Myers - DP-2026-027069</x:v>
      </x:c>
      <x:c r="D45" s="21" t="str">
        <x:v>Supplier payment</x:v>
      </x:c>
      <x:c r="E45" s="18" t="n">
        <x:v>1905.62</x:v>
      </x:c>
      <x:c r="F45" s="18"/>
      <x:c r="G45" s="18" t="n">
        <x:v>-1905.62</x:v>
      </x:c>
      <x:c r="H45" s="18" t="n">
        <x:f>H44+G45</x:f>
        <x:v>9772494.71</x:v>
      </x:c>
    </x:row>
    <x:row r="46">
      <x:c r="A46" s="20" t="n">
        <x:v>46174</x:v>
      </x:c>
      <x:c r="B46" s="21" t="str">
        <x:v>DP-2026-027071</x:v>
      </x:c>
      <x:c r="C46" s="21" t="str">
        <x:v>ACH PAYMENT - Hernandez, Melendez and Mcdowell - DP-2026-027071</x:v>
      </x:c>
      <x:c r="D46" s="21" t="str">
        <x:v>Supplier payment</x:v>
      </x:c>
      <x:c r="E46" s="18" t="n">
        <x:v>191</x:v>
      </x:c>
      <x:c r="F46" s="18"/>
      <x:c r="G46" s="18" t="n">
        <x:v>-191</x:v>
      </x:c>
      <x:c r="H46" s="18" t="n">
        <x:f>H45+G46</x:f>
        <x:v>9772303.71</x:v>
      </x:c>
    </x:row>
    <x:row r="47">
      <x:c r="A47" s="20" t="n">
        <x:v>46174</x:v>
      </x:c>
      <x:c r="B47" s="21" t="str">
        <x:v>DP-2026-027081</x:v>
      </x:c>
      <x:c r="C47" s="21" t="str">
        <x:v>ACH PAYMENT - Thomas LLC - DP-2026-027081</x:v>
      </x:c>
      <x:c r="D47" s="21" t="str">
        <x:v>Supplier payment</x:v>
      </x:c>
      <x:c r="E47" s="18" t="n">
        <x:v>1299.85</x:v>
      </x:c>
      <x:c r="F47" s="18"/>
      <x:c r="G47" s="18" t="n">
        <x:v>-1299.85</x:v>
      </x:c>
      <x:c r="H47" s="18" t="n">
        <x:f>H46+G47</x:f>
        <x:v>9771003.860000001</x:v>
      </x:c>
    </x:row>
    <x:row r="48">
      <x:c r="A48" s="20" t="n">
        <x:v>46174</x:v>
      </x:c>
      <x:c r="B48" s="21" t="str">
        <x:v>DP-2026-027082</x:v>
      </x:c>
      <x:c r="C48" s="21" t="str">
        <x:v>WIRE TRANSFER PAYMENT - Hoffman LLC - DP-2026-027082</x:v>
      </x:c>
      <x:c r="D48" s="21" t="str">
        <x:v>Supplier payment</x:v>
      </x:c>
      <x:c r="E48" s="18" t="n">
        <x:v>1245.2</x:v>
      </x:c>
      <x:c r="F48" s="18"/>
      <x:c r="G48" s="18" t="n">
        <x:v>-1245.2</x:v>
      </x:c>
      <x:c r="H48" s="18" t="n">
        <x:f>H47+G48</x:f>
        <x:v>9769758.660000002</x:v>
      </x:c>
    </x:row>
    <x:row r="49">
      <x:c r="A49" s="20" t="n">
        <x:v>46174</x:v>
      </x:c>
      <x:c r="B49" s="21" t="str">
        <x:v>DP-2026-027083</x:v>
      </x:c>
      <x:c r="C49" s="21" t="str">
        <x:v>WIRE TRANSFER PAYMENT - Morris-Taylor - DP-2026-027083</x:v>
      </x:c>
      <x:c r="D49" s="21" t="str">
        <x:v>Supplier payment</x:v>
      </x:c>
      <x:c r="E49" s="18" t="n">
        <x:v>676.84</x:v>
      </x:c>
      <x:c r="F49" s="18"/>
      <x:c r="G49" s="18" t="n">
        <x:v>-676.84</x:v>
      </x:c>
      <x:c r="H49" s="18" t="n">
        <x:f>H48+G49</x:f>
        <x:v>9769081.820000002</x:v>
      </x:c>
    </x:row>
    <x:row r="50">
      <x:c r="A50" s="20" t="n">
        <x:v>46174</x:v>
      </x:c>
      <x:c r="B50" s="21" t="str">
        <x:v>JE-2026-000111</x:v>
      </x:c>
      <x:c r="C50" s="21" t="str">
        <x:v>SETTLE OUTBOUND FREIGHT ACCRUALS THROUGH 2026-05</x:v>
      </x:c>
      <x:c r="D50" s="21" t="str">
        <x:v>Journal entry</x:v>
      </x:c>
      <x:c r="E50" s="18" t="n">
        <x:v>45451.42</x:v>
      </x:c>
      <x:c r="F50" s="18"/>
      <x:c r="G50" s="18" t="n">
        <x:v>-45451.42</x:v>
      </x:c>
      <x:c r="H50" s="18" t="n">
        <x:f>H49+G50</x:f>
        <x:v>9723630.400000002</x:v>
      </x:c>
    </x:row>
    <x:row r="51">
      <x:c r="A51" s="20" t="n">
        <x:v>46174</x:v>
      </x:c>
      <x:c r="B51" s="21" t="str">
        <x:v>PLR-2026-000062</x:v>
      </x:c>
      <x:c r="C51" s="21" t="str">
        <x:v>PAYROLL REMITTANCE - Federal and State Tax Agencies</x:v>
      </x:c>
      <x:c r="D51" s="21" t="str">
        <x:v>Payroll remittance</x:v>
      </x:c>
      <x:c r="E51" s="18" t="n">
        <x:v>30306.19</x:v>
      </x:c>
      <x:c r="F51" s="18"/>
      <x:c r="G51" s="18" t="n">
        <x:v>-30306.19</x:v>
      </x:c>
      <x:c r="H51" s="18" t="n">
        <x:f>H50+G51</x:f>
        <x:v>9693324.210000003</x:v>
      </x:c>
    </x:row>
    <x:row r="52">
      <x:c r="A52" s="20" t="n">
        <x:v>46174</x:v>
      </x:c>
      <x:c r="B52" s="21" t="str">
        <x:v>RF00000176</x:v>
      </x:c>
      <x:c r="C52" s="21" t="str">
        <x:v>CUSTOMER REFUND - RF-2026-000176</x:v>
      </x:c>
      <x:c r="D52" s="21" t="str">
        <x:v>Customer refund</x:v>
      </x:c>
      <x:c r="E52" s="18" t="n">
        <x:v>697.69</x:v>
      </x:c>
      <x:c r="F52" s="18"/>
      <x:c r="G52" s="18" t="n">
        <x:v>-697.69</x:v>
      </x:c>
      <x:c r="H52" s="18" t="n">
        <x:f>H51+G52</x:f>
        <x:v>9692626.520000003</x:v>
      </x:c>
    </x:row>
    <x:row r="53">
      <x:c r="A53" s="20" t="n">
        <x:v>46175</x:v>
      </x:c>
      <x:c r="B53" s="21" t="str">
        <x:v>CHK0026859</x:v>
      </x:c>
      <x:c r="C53" s="21" t="str">
        <x:v>CHECK PAYMENT - Hernandez, Melendez and Mcdowell - DP-2026-026859</x:v>
      </x:c>
      <x:c r="D53" s="21" t="str">
        <x:v>Supplier payment</x:v>
      </x:c>
      <x:c r="E53" s="18" t="n">
        <x:v>1466.25</x:v>
      </x:c>
      <x:c r="F53" s="18"/>
      <x:c r="G53" s="18" t="n">
        <x:v>-1466.25</x:v>
      </x:c>
      <x:c r="H53" s="18" t="n">
        <x:f>H52+G53</x:f>
        <x:v>9691160.270000003</x:v>
      </x:c>
    </x:row>
    <x:row r="54">
      <x:c r="A54" s="20" t="n">
        <x:v>46175</x:v>
      </x:c>
      <x:c r="B54" s="21" t="str">
        <x:v>CHK0026873</x:v>
      </x:c>
      <x:c r="C54" s="21" t="str">
        <x:v>CHECK PAYMENT - Peters, Terry and Zimmerman - DP-2026-026873</x:v>
      </x:c>
      <x:c r="D54" s="21" t="str">
        <x:v>Supplier payment</x:v>
      </x:c>
      <x:c r="E54" s="18" t="n">
        <x:v>566.43</x:v>
      </x:c>
      <x:c r="F54" s="18"/>
      <x:c r="G54" s="18" t="n">
        <x:v>-566.43</x:v>
      </x:c>
      <x:c r="H54" s="18" t="n">
        <x:f>H53+G54</x:f>
        <x:v>9690593.840000004</x:v>
      </x:c>
    </x:row>
    <x:row r="55">
      <x:c r="A55" s="20" t="n">
        <x:v>46175</x:v>
      </x:c>
      <x:c r="B55" s="21" t="str">
        <x:v>CHK0026892</x:v>
      </x:c>
      <x:c r="C55" s="21" t="str">
        <x:v>CHECK PAYMENT - Bell, Pruitt and David - DP-2026-026892</x:v>
      </x:c>
      <x:c r="D55" s="21" t="str">
        <x:v>Supplier payment</x:v>
      </x:c>
      <x:c r="E55" s="18" t="n">
        <x:v>487.15</x:v>
      </x:c>
      <x:c r="F55" s="18"/>
      <x:c r="G55" s="18" t="n">
        <x:v>-487.15</x:v>
      </x:c>
      <x:c r="H55" s="18" t="n">
        <x:f>H54+G55</x:f>
        <x:v>9690106.690000003</x:v>
      </x:c>
    </x:row>
    <x:row r="56">
      <x:c r="A56" s="20" t="n">
        <x:v>46175</x:v>
      </x:c>
      <x:c r="B56" s="21" t="str">
        <x:v>CHK0026898</x:v>
      </x:c>
      <x:c r="C56" s="21" t="str">
        <x:v>CHECK PAYMENT - Wright, Sanchez and Garza - DP-2026-026898</x:v>
      </x:c>
      <x:c r="D56" s="21" t="str">
        <x:v>Supplier payment</x:v>
      </x:c>
      <x:c r="E56" s="18" t="n">
        <x:v>157.49</x:v>
      </x:c>
      <x:c r="F56" s="18"/>
      <x:c r="G56" s="18" t="n">
        <x:v>-157.49</x:v>
      </x:c>
      <x:c r="H56" s="18" t="n">
        <x:f>H55+G56</x:f>
        <x:v>9689949.200000003</x:v>
      </x:c>
    </x:row>
    <x:row r="57">
      <x:c r="A57" s="20" t="n">
        <x:v>46175</x:v>
      </x:c>
      <x:c r="B57" s="21" t="str">
        <x:v>CHK0027014</x:v>
      </x:c>
      <x:c r="C57" s="21" t="str">
        <x:v>CHECK PAYMENT - Hoffman LLC - DP-2026-027014</x:v>
      </x:c>
      <x:c r="D57" s="21" t="str">
        <x:v>Supplier payment</x:v>
      </x:c>
      <x:c r="E57" s="18" t="n">
        <x:v>885.28</x:v>
      </x:c>
      <x:c r="F57" s="18"/>
      <x:c r="G57" s="18" t="n">
        <x:v>-885.28</x:v>
      </x:c>
      <x:c r="H57" s="18" t="n">
        <x:f>H56+G57</x:f>
        <x:v>9689063.920000004</x:v>
      </x:c>
    </x:row>
    <x:row r="58">
      <x:c r="A58" s="20" t="n">
        <x:v>46175</x:v>
      </x:c>
      <x:c r="B58" s="21" t="str">
        <x:v>CHK0027050</x:v>
      </x:c>
      <x:c r="C58" s="21" t="str">
        <x:v>CHECK PAYMENT - Goodwin, Walker and Scott - DP-2026-027050</x:v>
      </x:c>
      <x:c r="D58" s="21" t="str">
        <x:v>Supplier payment</x:v>
      </x:c>
      <x:c r="E58" s="18" t="n">
        <x:v>1422.99</x:v>
      </x:c>
      <x:c r="F58" s="18"/>
      <x:c r="G58" s="18" t="n">
        <x:v>-1422.99</x:v>
      </x:c>
      <x:c r="H58" s="18" t="n">
        <x:f>H57+G58</x:f>
        <x:v>9687640.930000003</x:v>
      </x:c>
    </x:row>
    <x:row r="59">
      <x:c r="A59" s="20" t="n">
        <x:v>46175</x:v>
      </x:c>
      <x:c r="B59" s="21" t="str">
        <x:v>CHK0027054</x:v>
      </x:c>
      <x:c r="C59" s="21" t="str">
        <x:v>CHECK PAYMENT - Hoffman LLC - DP-2026-027054</x:v>
      </x:c>
      <x:c r="D59" s="21" t="str">
        <x:v>Supplier payment</x:v>
      </x:c>
      <x:c r="E59" s="18" t="n">
        <x:v>458.7</x:v>
      </x:c>
      <x:c r="F59" s="18"/>
      <x:c r="G59" s="18" t="n">
        <x:v>-458.7</x:v>
      </x:c>
      <x:c r="H59" s="18" t="n">
        <x:f>H58+G59</x:f>
        <x:v>9687182.230000004</x:v>
      </x:c>
    </x:row>
    <x:row r="60">
      <x:c r="A60" s="20" t="n">
        <x:v>46175</x:v>
      </x:c>
      <x:c r="B60" s="21" t="str">
        <x:v>CHK0027068</x:v>
      </x:c>
      <x:c r="C60" s="21" t="str">
        <x:v>CHECK PAYMENT - Hernandez, Melendez and Mcdowell - DP-2026-027068</x:v>
      </x:c>
      <x:c r="D60" s="21" t="str">
        <x:v>Supplier payment</x:v>
      </x:c>
      <x:c r="E60" s="18" t="n">
        <x:v>1.01</x:v>
      </x:c>
      <x:c r="F60" s="18"/>
      <x:c r="G60" s="18" t="n">
        <x:v>-1.01</x:v>
      </x:c>
      <x:c r="H60" s="18" t="n">
        <x:f>H59+G60</x:f>
        <x:v>9687181.220000004</x:v>
      </x:c>
    </x:row>
    <x:row r="61">
      <x:c r="A61" s="20" t="n">
        <x:v>46175</x:v>
      </x:c>
      <x:c r="B61" s="21" t="str">
        <x:v>CHK0027263</x:v>
      </x:c>
      <x:c r="C61" s="21" t="str">
        <x:v>CHECK PAYMENT - Hernandez, Melendez and Mcdowell - DP-2026-027263</x:v>
      </x:c>
      <x:c r="D61" s="21" t="str">
        <x:v>Supplier payment</x:v>
      </x:c>
      <x:c r="E61" s="18" t="n">
        <x:v>2715.36</x:v>
      </x:c>
      <x:c r="F61" s="18"/>
      <x:c r="G61" s="18" t="n">
        <x:v>-2715.36</x:v>
      </x:c>
      <x:c r="H61" s="18" t="n">
        <x:f>H60+G61</x:f>
        <x:v>9684465.860000005</x:v>
      </x:c>
    </x:row>
    <x:row r="62">
      <x:c r="A62" s="20" t="n">
        <x:v>46175</x:v>
      </x:c>
      <x:c r="B62" s="21" t="str">
        <x:v>CHK0027280</x:v>
      </x:c>
      <x:c r="C62" s="21" t="str">
        <x:v>CHECK PAYMENT - Keith PLC - DP-2026-027280</x:v>
      </x:c>
      <x:c r="D62" s="21" t="str">
        <x:v>Supplier payment</x:v>
      </x:c>
      <x:c r="E62" s="18" t="n">
        <x:v>570.1</x:v>
      </x:c>
      <x:c r="F62" s="18"/>
      <x:c r="G62" s="18" t="n">
        <x:v>-570.1</x:v>
      </x:c>
      <x:c r="H62" s="18" t="n">
        <x:f>H61+G62</x:f>
        <x:v>9683895.760000005</x:v>
      </x:c>
    </x:row>
    <x:row r="63">
      <x:c r="A63" s="20" t="n">
        <x:v>46175</x:v>
      </x:c>
      <x:c r="B63" s="21" t="str">
        <x:v>CHK0027285</x:v>
      </x:c>
      <x:c r="C63" s="21" t="str">
        <x:v>CHECK PAYMENT - Collins-Johnson - DP-2026-027285</x:v>
      </x:c>
      <x:c r="D63" s="21" t="str">
        <x:v>Supplier payment</x:v>
      </x:c>
      <x:c r="E63" s="18" t="n">
        <x:v>303.29</x:v>
      </x:c>
      <x:c r="F63" s="18"/>
      <x:c r="G63" s="18" t="n">
        <x:v>-303.29</x:v>
      </x:c>
      <x:c r="H63" s="18" t="n">
        <x:f>H62+G63</x:f>
        <x:v>9683592.470000006</x:v>
      </x:c>
    </x:row>
    <x:row r="64">
      <x:c r="A64" s="20" t="n">
        <x:v>46175</x:v>
      </x:c>
      <x:c r="B64" s="21" t="str">
        <x:v>CHK0027296</x:v>
      </x:c>
      <x:c r="C64" s="21" t="str">
        <x:v>CHECK PAYMENT - Powers-Daniels - DP-2026-027296</x:v>
      </x:c>
      <x:c r="D64" s="21" t="str">
        <x:v>Supplier payment</x:v>
      </x:c>
      <x:c r="E64" s="18" t="n">
        <x:v>285.76</x:v>
      </x:c>
      <x:c r="F64" s="18"/>
      <x:c r="G64" s="18" t="n">
        <x:v>-285.76</x:v>
      </x:c>
      <x:c r="H64" s="18" t="n">
        <x:f>H63+G64</x:f>
        <x:v>9683306.710000006</x:v>
      </x:c>
    </x:row>
    <x:row r="65">
      <x:c r="A65" s="20" t="n">
        <x:v>46175</x:v>
      </x:c>
      <x:c r="B65" s="21" t="str">
        <x:v>CHK0027307</x:v>
      </x:c>
      <x:c r="C65" s="21" t="str">
        <x:v>CHECK PAYMENT - Garcia Group - DP-2026-027307</x:v>
      </x:c>
      <x:c r="D65" s="21" t="str">
        <x:v>Supplier payment</x:v>
      </x:c>
      <x:c r="E65" s="18" t="n">
        <x:v>504.1</x:v>
      </x:c>
      <x:c r="F65" s="18"/>
      <x:c r="G65" s="18" t="n">
        <x:v>-504.1</x:v>
      </x:c>
      <x:c r="H65" s="18" t="n">
        <x:f>H64+G65</x:f>
        <x:v>9682802.610000007</x:v>
      </x:c>
    </x:row>
    <x:row r="66">
      <x:c r="A66" s="20" t="n">
        <x:v>46175</x:v>
      </x:c>
      <x:c r="B66" s="21" t="str">
        <x:v>CHK0027332</x:v>
      </x:c>
      <x:c r="C66" s="21" t="str">
        <x:v>CHECK PAYMENT - Keith PLC - DP-2026-027332</x:v>
      </x:c>
      <x:c r="D66" s="21" t="str">
        <x:v>Supplier payment</x:v>
      </x:c>
      <x:c r="E66" s="18" t="n">
        <x:v>585.14</x:v>
      </x:c>
      <x:c r="F66" s="18"/>
      <x:c r="G66" s="18" t="n">
        <x:v>-585.14</x:v>
      </x:c>
      <x:c r="H66" s="18" t="n">
        <x:f>H65+G66</x:f>
        <x:v>9682217.470000006</x:v>
      </x:c>
    </x:row>
    <x:row r="67">
      <x:c r="A67" s="20" t="n">
        <x:v>46175</x:v>
      </x:c>
      <x:c r="B67" s="21" t="str">
        <x:v>CHK0027403</x:v>
      </x:c>
      <x:c r="C67" s="21" t="str">
        <x:v>CHECK PAYMENT - Velasquez-Baxter - DP-2026-027403</x:v>
      </x:c>
      <x:c r="D67" s="21" t="str">
        <x:v>Supplier payment</x:v>
      </x:c>
      <x:c r="E67" s="18" t="n">
        <x:v>66.51</x:v>
      </x:c>
      <x:c r="F67" s="18"/>
      <x:c r="G67" s="18" t="n">
        <x:v>-66.51</x:v>
      </x:c>
      <x:c r="H67" s="18" t="n">
        <x:f>H66+G67</x:f>
        <x:v>9682150.960000006</x:v>
      </x:c>
    </x:row>
    <x:row r="68">
      <x:c r="A68" s="20" t="n">
        <x:v>46175</x:v>
      </x:c>
      <x:c r="B68" s="21" t="str">
        <x:v>CHK0027411</x:v>
      </x:c>
      <x:c r="C68" s="21" t="str">
        <x:v>CHECK PAYMENT - Nash LLC - DP-2026-027411</x:v>
      </x:c>
      <x:c r="D68" s="21" t="str">
        <x:v>Supplier payment</x:v>
      </x:c>
      <x:c r="E68" s="18" t="n">
        <x:v>765.77</x:v>
      </x:c>
      <x:c r="F68" s="18"/>
      <x:c r="G68" s="18" t="n">
        <x:v>-765.77</x:v>
      </x:c>
      <x:c r="H68" s="18" t="n">
        <x:f>H67+G68</x:f>
        <x:v>9681385.190000007</x:v>
      </x:c>
    </x:row>
    <x:row r="69">
      <x:c r="A69" s="20" t="n">
        <x:v>46175</x:v>
      </x:c>
      <x:c r="B69" s="21" t="str">
        <x:v>CHK0027420</x:v>
      </x:c>
      <x:c r="C69" s="21" t="str">
        <x:v>CHECK PAYMENT - Villarreal, Mcdonald and Scott - DP-2026-027420</x:v>
      </x:c>
      <x:c r="D69" s="21" t="str">
        <x:v>Supplier payment</x:v>
      </x:c>
      <x:c r="E69" s="18" t="n">
        <x:v>27.74</x:v>
      </x:c>
      <x:c r="F69" s="18"/>
      <x:c r="G69" s="18" t="n">
        <x:v>-27.74</x:v>
      </x:c>
      <x:c r="H69" s="18" t="n">
        <x:f>H68+G69</x:f>
        <x:v>9681357.450000007</x:v>
      </x:c>
    </x:row>
    <x:row r="70">
      <x:c r="A70" s="20" t="n">
        <x:v>46175</x:v>
      </x:c>
      <x:c r="B70" s="21" t="str">
        <x:v>CHK0027423</x:v>
      </x:c>
      <x:c r="C70" s="21" t="str">
        <x:v>CHECK PAYMENT - Bell, Pruitt and David - DP-2026-027423</x:v>
      </x:c>
      <x:c r="D70" s="21" t="str">
        <x:v>Supplier payment</x:v>
      </x:c>
      <x:c r="E70" s="18" t="n">
        <x:v>613.4</x:v>
      </x:c>
      <x:c r="F70" s="18"/>
      <x:c r="G70" s="18" t="n">
        <x:v>-613.4</x:v>
      </x:c>
      <x:c r="H70" s="18" t="n">
        <x:f>H69+G70</x:f>
        <x:v>9680744.050000006</x:v>
      </x:c>
    </x:row>
    <x:row r="71">
      <x:c r="A71" s="20" t="n">
        <x:v>46175</x:v>
      </x:c>
      <x:c r="B71" s="21" t="str">
        <x:v>CHK0027431</x:v>
      </x:c>
      <x:c r="C71" s="21" t="str">
        <x:v>CHECK PAYMENT - Lindsey and Sons - DP-2026-027431</x:v>
      </x:c>
      <x:c r="D71" s="21" t="str">
        <x:v>Supplier payment</x:v>
      </x:c>
      <x:c r="E71" s="18" t="n">
        <x:v>29130.42</x:v>
      </x:c>
      <x:c r="F71" s="18"/>
      <x:c r="G71" s="18" t="n">
        <x:v>-29130.42</x:v>
      </x:c>
      <x:c r="H71" s="18" t="n">
        <x:f>H70+G71</x:f>
        <x:v>9651613.630000006</x:v>
      </x:c>
    </x:row>
    <x:row r="72">
      <x:c r="A72" s="20" t="n">
        <x:v>46175</x:v>
      </x:c>
      <x:c r="B72" s="21" t="str">
        <x:v>CHK0027470</x:v>
      </x:c>
      <x:c r="C72" s="21" t="str">
        <x:v>CHECK PAYMENT - Watson, Mitchell and Chen - DP-2026-027470</x:v>
      </x:c>
      <x:c r="D72" s="21" t="str">
        <x:v>Supplier payment</x:v>
      </x:c>
      <x:c r="E72" s="18" t="n">
        <x:v>1764.47</x:v>
      </x:c>
      <x:c r="F72" s="18"/>
      <x:c r="G72" s="18" t="n">
        <x:v>-1764.47</x:v>
      </x:c>
      <x:c r="H72" s="18" t="n">
        <x:f>H71+G72</x:f>
        <x:v>9649849.160000006</x:v>
      </x:c>
    </x:row>
    <x:row r="73">
      <x:c r="A73" s="20" t="n">
        <x:v>46175</x:v>
      </x:c>
      <x:c r="B73" s="21" t="str">
        <x:v>CHK0027475</x:v>
      </x:c>
      <x:c r="C73" s="21" t="str">
        <x:v>CHECK PAYMENT - Velasquez-Baxter - DP-2026-027475</x:v>
      </x:c>
      <x:c r="D73" s="21" t="str">
        <x:v>Supplier payment</x:v>
      </x:c>
      <x:c r="E73" s="18" t="n">
        <x:v>2415.21</x:v>
      </x:c>
      <x:c r="F73" s="18"/>
      <x:c r="G73" s="18" t="n">
        <x:v>-2415.21</x:v>
      </x:c>
      <x:c r="H73" s="18" t="n">
        <x:f>H72+G73</x:f>
        <x:v>9647433.950000005</x:v>
      </x:c>
    </x:row>
    <x:row r="74">
      <x:c r="A74" s="20" t="n">
        <x:v>46175</x:v>
      </x:c>
      <x:c r="B74" s="21" t="str">
        <x:v>CHK0027488</x:v>
      </x:c>
      <x:c r="C74" s="21" t="str">
        <x:v>CHECK PAYMENT - Lindsey and Sons - DP-2026-027488</x:v>
      </x:c>
      <x:c r="D74" s="21" t="str">
        <x:v>Supplier payment</x:v>
      </x:c>
      <x:c r="E74" s="18" t="n">
        <x:v>252.93</x:v>
      </x:c>
      <x:c r="F74" s="18"/>
      <x:c r="G74" s="18" t="n">
        <x:v>-252.93</x:v>
      </x:c>
      <x:c r="H74" s="18" t="n">
        <x:f>H73+G74</x:f>
        <x:v>9647181.020000005</x:v>
      </x:c>
    </x:row>
    <x:row r="75">
      <x:c r="A75" s="20" t="n">
        <x:v>46175</x:v>
      </x:c>
      <x:c r="B75" s="21" t="str">
        <x:v>CHK0027544</x:v>
      </x:c>
      <x:c r="C75" s="21" t="str">
        <x:v>CHECK PAYMENT - Whitaker-Edwards - DP-2026-027544</x:v>
      </x:c>
      <x:c r="D75" s="21" t="str">
        <x:v>Supplier payment</x:v>
      </x:c>
      <x:c r="E75" s="18" t="n">
        <x:v>262.5</x:v>
      </x:c>
      <x:c r="F75" s="18"/>
      <x:c r="G75" s="18" t="n">
        <x:v>-262.5</x:v>
      </x:c>
      <x:c r="H75" s="18" t="n">
        <x:f>H74+G75</x:f>
        <x:v>9646918.520000005</x:v>
      </x:c>
    </x:row>
    <x:row r="76">
      <x:c r="A76" s="20" t="n">
        <x:v>46175</x:v>
      </x:c>
      <x:c r="B76" s="21" t="str">
        <x:v>CHK0027545</x:v>
      </x:c>
      <x:c r="C76" s="21" t="str">
        <x:v>CHECK PAYMENT - Brooks, Johnson and Olson - DP-2026-027545</x:v>
      </x:c>
      <x:c r="D76" s="21" t="str">
        <x:v>Supplier payment</x:v>
      </x:c>
      <x:c r="E76" s="18" t="n">
        <x:v>1369.45</x:v>
      </x:c>
      <x:c r="F76" s="18"/>
      <x:c r="G76" s="18" t="n">
        <x:v>-1369.45</x:v>
      </x:c>
      <x:c r="H76" s="18" t="n">
        <x:f>H75+G76</x:f>
        <x:v>9645549.070000006</x:v>
      </x:c>
    </x:row>
    <x:row r="77">
      <x:c r="A77" s="20" t="n">
        <x:v>46175</x:v>
      </x:c>
      <x:c r="B77" s="21" t="str">
        <x:v>CHK0027560</x:v>
      </x:c>
      <x:c r="C77" s="21" t="str">
        <x:v>CHECK PAYMENT - Peters, Terry and Zimmerman - DP-2026-027560</x:v>
      </x:c>
      <x:c r="D77" s="21" t="str">
        <x:v>Supplier payment</x:v>
      </x:c>
      <x:c r="E77" s="18" t="n">
        <x:v>171.73</x:v>
      </x:c>
      <x:c r="F77" s="18"/>
      <x:c r="G77" s="18" t="n">
        <x:v>-171.73</x:v>
      </x:c>
      <x:c r="H77" s="18" t="n">
        <x:f>H76+G77</x:f>
        <x:v>9645377.340000005</x:v>
      </x:c>
    </x:row>
    <x:row r="78">
      <x:c r="A78" s="20" t="n">
        <x:v>46175</x:v>
      </x:c>
      <x:c r="B78" s="21" t="str">
        <x:v>CHK0027562</x:v>
      </x:c>
      <x:c r="C78" s="21" t="str">
        <x:v>CHECK PAYMENT - Evans PLC - DP-2026-027562</x:v>
      </x:c>
      <x:c r="D78" s="21" t="str">
        <x:v>Supplier payment</x:v>
      </x:c>
      <x:c r="E78" s="18" t="n">
        <x:v>98.88</x:v>
      </x:c>
      <x:c r="F78" s="18"/>
      <x:c r="G78" s="18" t="n">
        <x:v>-98.88</x:v>
      </x:c>
      <x:c r="H78" s="18" t="n">
        <x:f>H77+G78</x:f>
        <x:v>9645278.460000005</x:v>
      </x:c>
    </x:row>
    <x:row r="79">
      <x:c r="A79" s="20" t="n">
        <x:v>46175</x:v>
      </x:c>
      <x:c r="B79" s="21" t="str">
        <x:v>CHK0027564</x:v>
      </x:c>
      <x:c r="C79" s="21" t="str">
        <x:v>CHECK PAYMENT - Berger, Stanley and Cooper - DP-2026-027564</x:v>
      </x:c>
      <x:c r="D79" s="21" t="str">
        <x:v>Supplier payment</x:v>
      </x:c>
      <x:c r="E79" s="18" t="n">
        <x:v>1025.66</x:v>
      </x:c>
      <x:c r="F79" s="18"/>
      <x:c r="G79" s="18" t="n">
        <x:v>-1025.66</x:v>
      </x:c>
      <x:c r="H79" s="18" t="n">
        <x:f>H78+G79</x:f>
        <x:v>9644252.800000004</x:v>
      </x:c>
    </x:row>
    <x:row r="80">
      <x:c r="A80" s="20" t="n">
        <x:v>46175</x:v>
      </x:c>
      <x:c r="B80" s="21" t="str">
        <x:v>CHK0027576</x:v>
      </x:c>
      <x:c r="C80" s="21" t="str">
        <x:v>CHECK PAYMENT - Garcia Group - DP-2026-027576</x:v>
      </x:c>
      <x:c r="D80" s="21" t="str">
        <x:v>Supplier payment</x:v>
      </x:c>
      <x:c r="E80" s="18" t="n">
        <x:v>1204.48</x:v>
      </x:c>
      <x:c r="F80" s="18"/>
      <x:c r="G80" s="18" t="n">
        <x:v>-1204.48</x:v>
      </x:c>
      <x:c r="H80" s="18" t="n">
        <x:f>H79+G80</x:f>
        <x:v>9643048.320000004</x:v>
      </x:c>
    </x:row>
    <x:row r="81">
      <x:c r="A81" s="20" t="n">
        <x:v>46175</x:v>
      </x:c>
      <x:c r="B81" s="21" t="str">
        <x:v>CHK0027577</x:v>
      </x:c>
      <x:c r="C81" s="21" t="str">
        <x:v>CHECK PAYMENT - Diaz Group - DP-2026-027577</x:v>
      </x:c>
      <x:c r="D81" s="21" t="str">
        <x:v>Supplier payment</x:v>
      </x:c>
      <x:c r="E81" s="18" t="n">
        <x:v>181.28</x:v>
      </x:c>
      <x:c r="F81" s="18"/>
      <x:c r="G81" s="18" t="n">
        <x:v>-181.28</x:v>
      </x:c>
      <x:c r="H81" s="18" t="n">
        <x:f>H80+G81</x:f>
        <x:v>9642867.040000005</x:v>
      </x:c>
    </x:row>
    <x:row r="82">
      <x:c r="A82" s="20" t="n">
        <x:v>46175</x:v>
      </x:c>
      <x:c r="B82" s="21" t="str">
        <x:v>CHK0027580</x:v>
      </x:c>
      <x:c r="C82" s="21" t="str">
        <x:v>CHECK PAYMENT - Gordon and Sons - DP-2026-027580</x:v>
      </x:c>
      <x:c r="D82" s="21" t="str">
        <x:v>Supplier payment</x:v>
      </x:c>
      <x:c r="E82" s="18" t="n">
        <x:v>2887.01</x:v>
      </x:c>
      <x:c r="F82" s="18"/>
      <x:c r="G82" s="18" t="n">
        <x:v>-2887.01</x:v>
      </x:c>
      <x:c r="H82" s="18" t="n">
        <x:f>H81+G82</x:f>
        <x:v>9639980.030000005</x:v>
      </x:c>
    </x:row>
    <x:row r="83">
      <x:c r="A83" s="20" t="n">
        <x:v>46175</x:v>
      </x:c>
      <x:c r="B83" s="21" t="str">
        <x:v>CHK0027589</x:v>
      </x:c>
      <x:c r="C83" s="21" t="str">
        <x:v>CHECK PAYMENT - Collins-Johnson - DP-2026-027589</x:v>
      </x:c>
      <x:c r="D83" s="21" t="str">
        <x:v>Supplier payment</x:v>
      </x:c>
      <x:c r="E83" s="18" t="n">
        <x:v>239.41</x:v>
      </x:c>
      <x:c r="F83" s="18"/>
      <x:c r="G83" s="18" t="n">
        <x:v>-239.41</x:v>
      </x:c>
      <x:c r="H83" s="18" t="n">
        <x:f>H82+G83</x:f>
        <x:v>9639740.620000005</x:v>
      </x:c>
    </x:row>
    <x:row r="84">
      <x:c r="A84" s="20" t="n">
        <x:v>46175</x:v>
      </x:c>
      <x:c r="B84" s="21" t="str">
        <x:v>CHK0027619</x:v>
      </x:c>
      <x:c r="C84" s="21" t="str">
        <x:v>CHECK PAYMENT - Coffey, Gross and Phelps - DP-2026-027619</x:v>
      </x:c>
      <x:c r="D84" s="21" t="str">
        <x:v>Supplier payment</x:v>
      </x:c>
      <x:c r="E84" s="18" t="n">
        <x:v>663.45</x:v>
      </x:c>
      <x:c r="F84" s="18"/>
      <x:c r="G84" s="18" t="n">
        <x:v>-663.45</x:v>
      </x:c>
      <x:c r="H84" s="18" t="n">
        <x:f>H83+G84</x:f>
        <x:v>9639077.170000006</x:v>
      </x:c>
    </x:row>
    <x:row r="85">
      <x:c r="A85" s="20" t="n">
        <x:v>46175</x:v>
      </x:c>
      <x:c r="B85" s="21" t="str">
        <x:v>CHK0027641</x:v>
      </x:c>
      <x:c r="C85" s="21" t="str">
        <x:v>CHECK PAYMENT - Hernandez, Melendez and Mcdowell - DP-2026-027641</x:v>
      </x:c>
      <x:c r="D85" s="21" t="str">
        <x:v>Supplier payment</x:v>
      </x:c>
      <x:c r="E85" s="18" t="n">
        <x:v>608.94</x:v>
      </x:c>
      <x:c r="F85" s="18"/>
      <x:c r="G85" s="18" t="n">
        <x:v>-608.94</x:v>
      </x:c>
      <x:c r="H85" s="18" t="n">
        <x:f>H84+G85</x:f>
        <x:v>9638468.230000006</x:v>
      </x:c>
    </x:row>
    <x:row r="86">
      <x:c r="A86" s="20" t="n">
        <x:v>46175</x:v>
      </x:c>
      <x:c r="B86" s="21" t="str">
        <x:v>CHK0027669</x:v>
      </x:c>
      <x:c r="C86" s="21" t="str">
        <x:v>CHECK PAYMENT - Coleman-Moore - DP-2026-027669</x:v>
      </x:c>
      <x:c r="D86" s="21" t="str">
        <x:v>Supplier payment</x:v>
      </x:c>
      <x:c r="E86" s="18" t="n">
        <x:v>672.68</x:v>
      </x:c>
      <x:c r="F86" s="18"/>
      <x:c r="G86" s="18" t="n">
        <x:v>-672.68</x:v>
      </x:c>
      <x:c r="H86" s="18" t="n">
        <x:f>H85+G86</x:f>
        <x:v>9637795.550000006</x:v>
      </x:c>
    </x:row>
    <x:row r="87">
      <x:c r="A87" s="20" t="n">
        <x:v>46175</x:v>
      </x:c>
      <x:c r="B87" s="21" t="str">
        <x:v>CHK0027686</x:v>
      </x:c>
      <x:c r="C87" s="21" t="str">
        <x:v>CHECK PAYMENT - Garcia Group - DP-2026-027686</x:v>
      </x:c>
      <x:c r="D87" s="21" t="str">
        <x:v>Supplier payment</x:v>
      </x:c>
      <x:c r="E87" s="18" t="n">
        <x:v>61.56</x:v>
      </x:c>
      <x:c r="F87" s="18"/>
      <x:c r="G87" s="18" t="n">
        <x:v>-61.56</x:v>
      </x:c>
      <x:c r="H87" s="18" t="n">
        <x:f>H86+G87</x:f>
        <x:v>9637733.990000006</x:v>
      </x:c>
    </x:row>
    <x:row r="88">
      <x:c r="A88" s="20" t="n">
        <x:v>46175</x:v>
      </x:c>
      <x:c r="B88" s="21" t="str">
        <x:v>CHK0027699</x:v>
      </x:c>
      <x:c r="C88" s="21" t="str">
        <x:v>CHECK PAYMENT - Duncan-Dawson - DP-2026-027699</x:v>
      </x:c>
      <x:c r="D88" s="21" t="str">
        <x:v>Supplier payment</x:v>
      </x:c>
      <x:c r="E88" s="18" t="n">
        <x:v>2035.43</x:v>
      </x:c>
      <x:c r="F88" s="18"/>
      <x:c r="G88" s="18" t="n">
        <x:v>-2035.43</x:v>
      </x:c>
      <x:c r="H88" s="18" t="n">
        <x:f>H87+G88</x:f>
        <x:v>9635698.560000006</x:v>
      </x:c>
    </x:row>
    <x:row r="89">
      <x:c r="A89" s="20" t="n">
        <x:v>46175</x:v>
      </x:c>
      <x:c r="B89" s="21" t="str">
        <x:v>CHK0027704</x:v>
      </x:c>
      <x:c r="C89" s="21" t="str">
        <x:v>CHECK PAYMENT - Garcia Group - DP-2026-027704</x:v>
      </x:c>
      <x:c r="D89" s="21" t="str">
        <x:v>Supplier payment</x:v>
      </x:c>
      <x:c r="E89" s="18" t="n">
        <x:v>454.09</x:v>
      </x:c>
      <x:c r="F89" s="18"/>
      <x:c r="G89" s="18" t="n">
        <x:v>-454.09</x:v>
      </x:c>
      <x:c r="H89" s="18" t="n">
        <x:f>H88+G89</x:f>
        <x:v>9635244.470000006</x:v>
      </x:c>
    </x:row>
    <x:row r="90">
      <x:c r="A90" s="20" t="n">
        <x:v>46175</x:v>
      </x:c>
      <x:c r="B90" s="21" t="str">
        <x:v>CHK0027708</x:v>
      </x:c>
      <x:c r="C90" s="21" t="str">
        <x:v>CHECK PAYMENT - Peters, Terry and Zimmerman - DP-2026-027708</x:v>
      </x:c>
      <x:c r="D90" s="21" t="str">
        <x:v>Supplier payment</x:v>
      </x:c>
      <x:c r="E90" s="18" t="n">
        <x:v>170.57</x:v>
      </x:c>
      <x:c r="F90" s="18"/>
      <x:c r="G90" s="18" t="n">
        <x:v>-170.57</x:v>
      </x:c>
      <x:c r="H90" s="18" t="n">
        <x:f>H89+G90</x:f>
        <x:v>9635073.900000006</x:v>
      </x:c>
    </x:row>
    <x:row r="91">
      <x:c r="A91" s="20" t="n">
        <x:v>46175</x:v>
      </x:c>
      <x:c r="B91" s="21" t="str">
        <x:v>CHK0027723</x:v>
      </x:c>
      <x:c r="C91" s="21" t="str">
        <x:v>CHECK PAYMENT - Munoz, Garcia and Olsen - DP-2026-027723</x:v>
      </x:c>
      <x:c r="D91" s="21" t="str">
        <x:v>Supplier payment</x:v>
      </x:c>
      <x:c r="E91" s="18" t="n">
        <x:v>150.29</x:v>
      </x:c>
      <x:c r="F91" s="18"/>
      <x:c r="G91" s="18" t="n">
        <x:v>-150.29</x:v>
      </x:c>
      <x:c r="H91" s="18" t="n">
        <x:f>H90+G91</x:f>
        <x:v>9634923.610000007</x:v>
      </x:c>
    </x:row>
    <x:row r="92">
      <x:c r="A92" s="20" t="n">
        <x:v>46175</x:v>
      </x:c>
      <x:c r="B92" s="21" t="str">
        <x:v>CHK0027726</x:v>
      </x:c>
      <x:c r="C92" s="21" t="str">
        <x:v>CHECK PAYMENT - Powers-Daniels - DP-2026-027726</x:v>
      </x:c>
      <x:c r="D92" s="21" t="str">
        <x:v>Supplier payment</x:v>
      </x:c>
      <x:c r="E92" s="18" t="n">
        <x:v>141.78</x:v>
      </x:c>
      <x:c r="F92" s="18"/>
      <x:c r="G92" s="18" t="n">
        <x:v>-141.78</x:v>
      </x:c>
      <x:c r="H92" s="18" t="n">
        <x:f>H91+G92</x:f>
        <x:v>9634781.830000008</x:v>
      </x:c>
    </x:row>
    <x:row r="93">
      <x:c r="A93" s="20" t="n">
        <x:v>46175</x:v>
      </x:c>
      <x:c r="B93" s="21" t="str">
        <x:v>CHK0027729</x:v>
      </x:c>
      <x:c r="C93" s="21" t="str">
        <x:v>CHECK PAYMENT - Briggs-Cummings - DP-2026-027729</x:v>
      </x:c>
      <x:c r="D93" s="21" t="str">
        <x:v>Supplier payment</x:v>
      </x:c>
      <x:c r="E93" s="18" t="n">
        <x:v>524.26</x:v>
      </x:c>
      <x:c r="F93" s="18"/>
      <x:c r="G93" s="18" t="n">
        <x:v>-524.26</x:v>
      </x:c>
      <x:c r="H93" s="18" t="n">
        <x:f>H92+G93</x:f>
        <x:v>9634257.570000008</x:v>
      </x:c>
    </x:row>
    <x:row r="94">
      <x:c r="A94" s="20" t="n">
        <x:v>46175</x:v>
      </x:c>
      <x:c r="B94" s="21" t="str">
        <x:v>CHK0027731</x:v>
      </x:c>
      <x:c r="C94" s="21" t="str">
        <x:v>CHECK PAYMENT - Hoffman LLC - DP-2026-027731</x:v>
      </x:c>
      <x:c r="D94" s="21" t="str">
        <x:v>Supplier payment</x:v>
      </x:c>
      <x:c r="E94" s="18" t="n">
        <x:v>733.19</x:v>
      </x:c>
      <x:c r="F94" s="18"/>
      <x:c r="G94" s="18" t="n">
        <x:v>-733.19</x:v>
      </x:c>
      <x:c r="H94" s="18" t="n">
        <x:f>H93+G94</x:f>
        <x:v>9633524.380000008</x:v>
      </x:c>
    </x:row>
    <x:row r="95">
      <x:c r="A95" s="20" t="n">
        <x:v>46175</x:v>
      </x:c>
      <x:c r="B95" s="21" t="str">
        <x:v>CHK0027733</x:v>
      </x:c>
      <x:c r="C95" s="21" t="str">
        <x:v>CHECK PAYMENT - Brooks, Johnson and Olson - DP-2026-027733</x:v>
      </x:c>
      <x:c r="D95" s="21" t="str">
        <x:v>Supplier payment</x:v>
      </x:c>
      <x:c r="E95" s="18" t="n">
        <x:v>502.8</x:v>
      </x:c>
      <x:c r="F95" s="18"/>
      <x:c r="G95" s="18" t="n">
        <x:v>-502.8</x:v>
      </x:c>
      <x:c r="H95" s="18" t="n">
        <x:f>H94+G95</x:f>
        <x:v>9633021.580000008</x:v>
      </x:c>
    </x:row>
    <x:row r="96">
      <x:c r="A96" s="20" t="n">
        <x:v>46175</x:v>
      </x:c>
      <x:c r="B96" s="21" t="str">
        <x:v>CHK0027741</x:v>
      </x:c>
      <x:c r="C96" s="21" t="str">
        <x:v>CHECK PAYMENT - Peters, Terry and Zimmerman - DP-2026-027741</x:v>
      </x:c>
      <x:c r="D96" s="21" t="str">
        <x:v>Supplier payment</x:v>
      </x:c>
      <x:c r="E96" s="18" t="n">
        <x:v>132.31</x:v>
      </x:c>
      <x:c r="F96" s="18"/>
      <x:c r="G96" s="18" t="n">
        <x:v>-132.31</x:v>
      </x:c>
      <x:c r="H96" s="18" t="n">
        <x:f>H95+G96</x:f>
        <x:v>9632889.270000007</x:v>
      </x:c>
    </x:row>
    <x:row r="97">
      <x:c r="A97" s="20" t="n">
        <x:v>46175</x:v>
      </x:c>
      <x:c r="B97" s="21" t="str">
        <x:v>CHK0027746</x:v>
      </x:c>
      <x:c r="C97" s="21" t="str">
        <x:v>CHECK PAYMENT - Garcia Group - DP-2026-027746</x:v>
      </x:c>
      <x:c r="D97" s="21" t="str">
        <x:v>Supplier payment</x:v>
      </x:c>
      <x:c r="E97" s="18" t="n">
        <x:v>1011.92</x:v>
      </x:c>
      <x:c r="F97" s="18"/>
      <x:c r="G97" s="18" t="n">
        <x:v>-1011.92</x:v>
      </x:c>
      <x:c r="H97" s="18" t="n">
        <x:f>H96+G97</x:f>
        <x:v>9631877.350000007</x:v>
      </x:c>
    </x:row>
    <x:row r="98">
      <x:c r="A98" s="20" t="n">
        <x:v>46175</x:v>
      </x:c>
      <x:c r="B98" s="21" t="str">
        <x:v>CHK0027757</x:v>
      </x:c>
      <x:c r="C98" s="21" t="str">
        <x:v>CHECK PAYMENT - Harris, Taylor and Perkins - DP-2026-027757</x:v>
      </x:c>
      <x:c r="D98" s="21" t="str">
        <x:v>Supplier payment</x:v>
      </x:c>
      <x:c r="E98" s="18" t="n">
        <x:v>647.98</x:v>
      </x:c>
      <x:c r="F98" s="18"/>
      <x:c r="G98" s="18" t="n">
        <x:v>-647.98</x:v>
      </x:c>
      <x:c r="H98" s="18" t="n">
        <x:f>H97+G98</x:f>
        <x:v>9631229.370000007</x:v>
      </x:c>
    </x:row>
    <x:row r="99">
      <x:c r="A99" s="20" t="n">
        <x:v>46175</x:v>
      </x:c>
      <x:c r="B99" s="21" t="str">
        <x:v>CHK0027791</x:v>
      </x:c>
      <x:c r="C99" s="21" t="str">
        <x:v>CHECK PAYMENT - Peters, Terry and Zimmerman - DP-2026-027791</x:v>
      </x:c>
      <x:c r="D99" s="21" t="str">
        <x:v>Supplier payment</x:v>
      </x:c>
      <x:c r="E99" s="18" t="n">
        <x:v>669.05</x:v>
      </x:c>
      <x:c r="F99" s="18"/>
      <x:c r="G99" s="18" t="n">
        <x:v>-669.05</x:v>
      </x:c>
      <x:c r="H99" s="18" t="n">
        <x:f>H98+G99</x:f>
        <x:v>9630560.320000006</x:v>
      </x:c>
    </x:row>
    <x:row r="100">
      <x:c r="A100" s="20" t="n">
        <x:v>46175</x:v>
      </x:c>
      <x:c r="B100" s="21" t="str">
        <x:v>CHK0027794</x:v>
      </x:c>
      <x:c r="C100" s="21" t="str">
        <x:v>CHECK PAYMENT - Hernandez, Melendez and Mcdowell - DP-2026-027794</x:v>
      </x:c>
      <x:c r="D100" s="21" t="str">
        <x:v>Supplier payment</x:v>
      </x:c>
      <x:c r="E100" s="18" t="n">
        <x:v>289.67</x:v>
      </x:c>
      <x:c r="F100" s="18"/>
      <x:c r="G100" s="18" t="n">
        <x:v>-289.67</x:v>
      </x:c>
      <x:c r="H100" s="18" t="n">
        <x:f>H99+G100</x:f>
        <x:v>9630270.650000006</x:v>
      </x:c>
    </x:row>
    <x:row r="101">
      <x:c r="A101" s="20" t="n">
        <x:v>46175</x:v>
      </x:c>
      <x:c r="B101" s="21" t="str">
        <x:v>CHK0027795</x:v>
      </x:c>
      <x:c r="C101" s="21" t="str">
        <x:v>CHECK PAYMENT - Brooks, Johnson and Olson - DP-2026-027795</x:v>
      </x:c>
      <x:c r="D101" s="21" t="str">
        <x:v>Supplier payment</x:v>
      </x:c>
      <x:c r="E101" s="18" t="n">
        <x:v>56.58</x:v>
      </x:c>
      <x:c r="F101" s="18"/>
      <x:c r="G101" s="18" t="n">
        <x:v>-56.58</x:v>
      </x:c>
      <x:c r="H101" s="18" t="n">
        <x:f>H100+G101</x:f>
        <x:v>9630214.070000006</x:v>
      </x:c>
    </x:row>
    <x:row r="102">
      <x:c r="A102" s="20" t="n">
        <x:v>46175</x:v>
      </x:c>
      <x:c r="B102" s="21" t="str">
        <x:v>CHK0027858</x:v>
      </x:c>
      <x:c r="C102" s="21" t="str">
        <x:v>CHECK PAYMENT - Turner PLC - DP-2026-027858</x:v>
      </x:c>
      <x:c r="D102" s="21" t="str">
        <x:v>Supplier payment</x:v>
      </x:c>
      <x:c r="E102" s="18" t="n">
        <x:v>618.76</x:v>
      </x:c>
      <x:c r="F102" s="18"/>
      <x:c r="G102" s="18" t="n">
        <x:v>-618.76</x:v>
      </x:c>
      <x:c r="H102" s="18" t="n">
        <x:f>H101+G102</x:f>
        <x:v>9629595.310000006</x:v>
      </x:c>
    </x:row>
    <x:row r="103">
      <x:c r="A103" s="20" t="n">
        <x:v>46175</x:v>
      </x:c>
      <x:c r="B103" s="21" t="str">
        <x:v>CHK0027879</x:v>
      </x:c>
      <x:c r="C103" s="21" t="str">
        <x:v>CHECK PAYMENT - Henderson, Bennett and Pena - DP-2026-027879</x:v>
      </x:c>
      <x:c r="D103" s="21" t="str">
        <x:v>Supplier payment</x:v>
      </x:c>
      <x:c r="E103" s="18" t="n">
        <x:v>564.89</x:v>
      </x:c>
      <x:c r="F103" s="18"/>
      <x:c r="G103" s="18" t="n">
        <x:v>-564.89</x:v>
      </x:c>
      <x:c r="H103" s="18" t="n">
        <x:f>H102+G103</x:f>
        <x:v>9629030.420000006</x:v>
      </x:c>
    </x:row>
    <x:row r="104">
      <x:c r="A104" s="20" t="n">
        <x:v>46175</x:v>
      </x:c>
      <x:c r="B104" s="21" t="str">
        <x:v>CHK0028036</x:v>
      </x:c>
      <x:c r="C104" s="21" t="str">
        <x:v>CHECK PAYMENT - Gardner-Shelton - DP-2026-028036</x:v>
      </x:c>
      <x:c r="D104" s="21" t="str">
        <x:v>Supplier payment</x:v>
      </x:c>
      <x:c r="E104" s="18" t="n">
        <x:v>2322.14</x:v>
      </x:c>
      <x:c r="F104" s="18"/>
      <x:c r="G104" s="18" t="n">
        <x:v>-2322.14</x:v>
      </x:c>
      <x:c r="H104" s="18" t="n">
        <x:f>H103+G104</x:f>
        <x:v>9626708.280000005</x:v>
      </x:c>
    </x:row>
    <x:row r="105">
      <x:c r="A105" s="20" t="n">
        <x:v>46175</x:v>
      </x:c>
      <x:c r="B105" s="21" t="str">
        <x:v>DP-2026-026749</x:v>
      </x:c>
      <x:c r="C105" s="21" t="str">
        <x:v>ACH PAYMENT - Simmons, Tucker and Huang - DP-2026-026749</x:v>
      </x:c>
      <x:c r="D105" s="21" t="str">
        <x:v>Supplier payment</x:v>
      </x:c>
      <x:c r="E105" s="18" t="n">
        <x:v>215.28</x:v>
      </x:c>
      <x:c r="F105" s="18"/>
      <x:c r="G105" s="18" t="n">
        <x:v>-215.28</x:v>
      </x:c>
      <x:c r="H105" s="18" t="n">
        <x:f>H104+G105</x:f>
        <x:v>9626493.000000006</x:v>
      </x:c>
    </x:row>
    <x:row r="106">
      <x:c r="A106" s="20" t="n">
        <x:v>46175</x:v>
      </x:c>
      <x:c r="B106" s="21" t="str">
        <x:v>DP-2026-026752</x:v>
      </x:c>
      <x:c r="C106" s="21" t="str">
        <x:v>ACH PAYMENT - Torres Ltd - DP-2026-026752</x:v>
      </x:c>
      <x:c r="D106" s="21" t="str">
        <x:v>Supplier payment</x:v>
      </x:c>
      <x:c r="E106" s="18" t="n">
        <x:v>217.04</x:v>
      </x:c>
      <x:c r="F106" s="18"/>
      <x:c r="G106" s="18" t="n">
        <x:v>-217.04</x:v>
      </x:c>
      <x:c r="H106" s="18" t="n">
        <x:f>H105+G106</x:f>
        <x:v>9626275.960000006</x:v>
      </x:c>
    </x:row>
    <x:row r="107">
      <x:c r="A107" s="20" t="n">
        <x:v>46175</x:v>
      </x:c>
      <x:c r="B107" s="21" t="str">
        <x:v>DP-2026-026776</x:v>
      </x:c>
      <x:c r="C107" s="21" t="str">
        <x:v>ACH PAYMENT - Peters, Terry and Zimmerman - DP-2026-026776</x:v>
      </x:c>
      <x:c r="D107" s="21" t="str">
        <x:v>Supplier payment</x:v>
      </x:c>
      <x:c r="E107" s="18" t="n">
        <x:v>1030.12</x:v>
      </x:c>
      <x:c r="F107" s="18"/>
      <x:c r="G107" s="18" t="n">
        <x:v>-1030.12</x:v>
      </x:c>
      <x:c r="H107" s="18" t="n">
        <x:f>H106+G107</x:f>
        <x:v>9625245.840000007</x:v>
      </x:c>
    </x:row>
    <x:row r="108">
      <x:c r="A108" s="20" t="n">
        <x:v>46175</x:v>
      </x:c>
      <x:c r="B108" s="21" t="str">
        <x:v>DP-2026-026806</x:v>
      </x:c>
      <x:c r="C108" s="21" t="str">
        <x:v>WIRE TRANSFER PAYMENT - Nelson-Rocha - DP-2026-026806</x:v>
      </x:c>
      <x:c r="D108" s="21" t="str">
        <x:v>Supplier payment</x:v>
      </x:c>
      <x:c r="E108" s="18" t="n">
        <x:v>646.58</x:v>
      </x:c>
      <x:c r="F108" s="18"/>
      <x:c r="G108" s="18" t="n">
        <x:v>-646.58</x:v>
      </x:c>
      <x:c r="H108" s="18" t="n">
        <x:f>H107+G108</x:f>
        <x:v>9624599.260000007</x:v>
      </x:c>
    </x:row>
    <x:row r="109">
      <x:c r="A109" s="20" t="n">
        <x:v>46175</x:v>
      </x:c>
      <x:c r="B109" s="21" t="str">
        <x:v>DP-2026-026844</x:v>
      </x:c>
      <x:c r="C109" s="21" t="str">
        <x:v>ACH PAYMENT - Martinez, Green and Gentry - DP-2026-026844</x:v>
      </x:c>
      <x:c r="D109" s="21" t="str">
        <x:v>Supplier payment</x:v>
      </x:c>
      <x:c r="E109" s="18" t="n">
        <x:v>227.23</x:v>
      </x:c>
      <x:c r="F109" s="18"/>
      <x:c r="G109" s="18" t="n">
        <x:v>-227.23</x:v>
      </x:c>
      <x:c r="H109" s="18" t="n">
        <x:f>H108+G109</x:f>
        <x:v>9624372.030000007</x:v>
      </x:c>
    </x:row>
    <x:row r="110">
      <x:c r="A110" s="20" t="n">
        <x:v>46175</x:v>
      </x:c>
      <x:c r="B110" s="21" t="str">
        <x:v>DP-2026-026856</x:v>
      </x:c>
      <x:c r="C110" s="21" t="str">
        <x:v>ACH PAYMENT - Diaz Group - DP-2026-026856</x:v>
      </x:c>
      <x:c r="D110" s="21" t="str">
        <x:v>Supplier payment</x:v>
      </x:c>
      <x:c r="E110" s="18" t="n">
        <x:v>705.62</x:v>
      </x:c>
      <x:c r="F110" s="18"/>
      <x:c r="G110" s="18" t="n">
        <x:v>-705.62</x:v>
      </x:c>
      <x:c r="H110" s="18" t="n">
        <x:f>H109+G110</x:f>
        <x:v>9623666.410000008</x:v>
      </x:c>
    </x:row>
    <x:row r="111">
      <x:c r="A111" s="20" t="n">
        <x:v>46175</x:v>
      </x:c>
      <x:c r="B111" s="21" t="str">
        <x:v>DP-2026-026899</x:v>
      </x:c>
      <x:c r="C111" s="21" t="str">
        <x:v>ACH PAYMENT - Chambers PLC - DP-2026-026899</x:v>
      </x:c>
      <x:c r="D111" s="21" t="str">
        <x:v>Supplier payment</x:v>
      </x:c>
      <x:c r="E111" s="18" t="n">
        <x:v>984.94</x:v>
      </x:c>
      <x:c r="F111" s="18"/>
      <x:c r="G111" s="18" t="n">
        <x:v>-984.94</x:v>
      </x:c>
      <x:c r="H111" s="18" t="n">
        <x:f>H110+G111</x:f>
        <x:v>9622681.470000008</x:v>
      </x:c>
    </x:row>
    <x:row r="112">
      <x:c r="A112" s="20" t="n">
        <x:v>46175</x:v>
      </x:c>
      <x:c r="B112" s="21" t="str">
        <x:v>DP-2026-026903</x:v>
      </x:c>
      <x:c r="C112" s="21" t="str">
        <x:v>WIRE TRANSFER PAYMENT - Hoffman LLC - DP-2026-026903</x:v>
      </x:c>
      <x:c r="D112" s="21" t="str">
        <x:v>Supplier payment</x:v>
      </x:c>
      <x:c r="E112" s="18" t="n">
        <x:v>97.7</x:v>
      </x:c>
      <x:c r="F112" s="18"/>
      <x:c r="G112" s="18" t="n">
        <x:v>-97.7</x:v>
      </x:c>
      <x:c r="H112" s="18" t="n">
        <x:f>H111+G112</x:f>
        <x:v>9622583.770000009</x:v>
      </x:c>
    </x:row>
    <x:row r="113">
      <x:c r="A113" s="20" t="n">
        <x:v>46175</x:v>
      </x:c>
      <x:c r="B113" s="21" t="str">
        <x:v>DP-2026-026930</x:v>
      </x:c>
      <x:c r="C113" s="21" t="str">
        <x:v>ACH PAYMENT - Hoffman LLC - DP-2026-026930</x:v>
      </x:c>
      <x:c r="D113" s="21" t="str">
        <x:v>Supplier payment</x:v>
      </x:c>
      <x:c r="E113" s="18" t="n">
        <x:v>111.38</x:v>
      </x:c>
      <x:c r="F113" s="18"/>
      <x:c r="G113" s="18" t="n">
        <x:v>-111.38</x:v>
      </x:c>
      <x:c r="H113" s="18" t="n">
        <x:f>H112+G113</x:f>
        <x:v>9622472.390000008</x:v>
      </x:c>
    </x:row>
    <x:row r="114">
      <x:c r="A114" s="20" t="n">
        <x:v>46175</x:v>
      </x:c>
      <x:c r="B114" s="21" t="str">
        <x:v>DP-2026-026956</x:v>
      </x:c>
      <x:c r="C114" s="21" t="str">
        <x:v>ACH PAYMENT - Keith PLC - DP-2026-026956</x:v>
      </x:c>
      <x:c r="D114" s="21" t="str">
        <x:v>Supplier payment</x:v>
      </x:c>
      <x:c r="E114" s="18" t="n">
        <x:v>294.14</x:v>
      </x:c>
      <x:c r="F114" s="18"/>
      <x:c r="G114" s="18" t="n">
        <x:v>-294.14</x:v>
      </x:c>
      <x:c r="H114" s="18" t="n">
        <x:f>H113+G114</x:f>
        <x:v>9622178.250000007</x:v>
      </x:c>
    </x:row>
    <x:row r="115">
      <x:c r="A115" s="20" t="n">
        <x:v>46175</x:v>
      </x:c>
      <x:c r="B115" s="21" t="str">
        <x:v>DP-2026-026963</x:v>
      </x:c>
      <x:c r="C115" s="21" t="str">
        <x:v>ACH PAYMENT - Hoffman LLC - DP-2026-026963</x:v>
      </x:c>
      <x:c r="D115" s="21" t="str">
        <x:v>Supplier payment</x:v>
      </x:c>
      <x:c r="E115" s="18" t="n">
        <x:v>877.15</x:v>
      </x:c>
      <x:c r="F115" s="18"/>
      <x:c r="G115" s="18" t="n">
        <x:v>-877.15</x:v>
      </x:c>
      <x:c r="H115" s="18" t="n">
        <x:f>H114+G115</x:f>
        <x:v>9621301.100000007</x:v>
      </x:c>
    </x:row>
    <x:row r="116">
      <x:c r="A116" s="20" t="n">
        <x:v>46175</x:v>
      </x:c>
      <x:c r="B116" s="21" t="str">
        <x:v>DP-2026-026988</x:v>
      </x:c>
      <x:c r="C116" s="21" t="str">
        <x:v>ACH PAYMENT - Nguyen-Davis - DP-2026-026988</x:v>
      </x:c>
      <x:c r="D116" s="21" t="str">
        <x:v>Supplier payment</x:v>
      </x:c>
      <x:c r="E116" s="18" t="n">
        <x:v>957.42</x:v>
      </x:c>
      <x:c r="F116" s="18"/>
      <x:c r="G116" s="18" t="n">
        <x:v>-957.42</x:v>
      </x:c>
      <x:c r="H116" s="18" t="n">
        <x:f>H115+G116</x:f>
        <x:v>9620343.680000007</x:v>
      </x:c>
    </x:row>
    <x:row r="117">
      <x:c r="A117" s="20" t="n">
        <x:v>46175</x:v>
      </x:c>
      <x:c r="B117" s="21" t="str">
        <x:v>DP-2026-026994</x:v>
      </x:c>
      <x:c r="C117" s="21" t="str">
        <x:v>ACH PAYMENT - Evans PLC - DP-2026-026994</x:v>
      </x:c>
      <x:c r="D117" s="21" t="str">
        <x:v>Supplier payment</x:v>
      </x:c>
      <x:c r="E117" s="18" t="n">
        <x:v>1243.63</x:v>
      </x:c>
      <x:c r="F117" s="18"/>
      <x:c r="G117" s="18" t="n">
        <x:v>-1243.63</x:v>
      </x:c>
      <x:c r="H117" s="18" t="n">
        <x:f>H116+G117</x:f>
        <x:v>9619100.050000006</x:v>
      </x:c>
    </x:row>
    <x:row r="118">
      <x:c r="A118" s="20" t="n">
        <x:v>46175</x:v>
      </x:c>
      <x:c r="B118" s="21" t="str">
        <x:v>DP-2026-027002</x:v>
      </x:c>
      <x:c r="C118" s="21" t="str">
        <x:v>ACH PAYMENT - Munoz, Garcia and Olsen - DP-2026-027002</x:v>
      </x:c>
      <x:c r="D118" s="21" t="str">
        <x:v>Supplier payment</x:v>
      </x:c>
      <x:c r="E118" s="18" t="n">
        <x:v>1224.5</x:v>
      </x:c>
      <x:c r="F118" s="18"/>
      <x:c r="G118" s="18" t="n">
        <x:v>-1224.5</x:v>
      </x:c>
      <x:c r="H118" s="18" t="n">
        <x:f>H117+G118</x:f>
        <x:v>9617875.550000006</x:v>
      </x:c>
    </x:row>
    <x:row r="119">
      <x:c r="A119" s="20" t="n">
        <x:v>46175</x:v>
      </x:c>
      <x:c r="B119" s="21" t="str">
        <x:v>DP-2026-027011</x:v>
      </x:c>
      <x:c r="C119" s="21" t="str">
        <x:v>ACH PAYMENT - Berger, Stanley and Cooper - DP-2026-027011</x:v>
      </x:c>
      <x:c r="D119" s="21" t="str">
        <x:v>Supplier payment</x:v>
      </x:c>
      <x:c r="E119" s="18" t="n">
        <x:v>862.6</x:v>
      </x:c>
      <x:c r="F119" s="18"/>
      <x:c r="G119" s="18" t="n">
        <x:v>-862.6</x:v>
      </x:c>
      <x:c r="H119" s="18" t="n">
        <x:f>H118+G119</x:f>
        <x:v>9617012.950000007</x:v>
      </x:c>
    </x:row>
    <x:row r="120">
      <x:c r="A120" s="20" t="n">
        <x:v>46175</x:v>
      </x:c>
      <x:c r="B120" s="21" t="str">
        <x:v>DP-2026-027012</x:v>
      </x:c>
      <x:c r="C120" s="21" t="str">
        <x:v>WIRE TRANSFER PAYMENT - Davis-Grant - DP-2026-027012</x:v>
      </x:c>
      <x:c r="D120" s="21" t="str">
        <x:v>Supplier payment</x:v>
      </x:c>
      <x:c r="E120" s="18" t="n">
        <x:v>418.06</x:v>
      </x:c>
      <x:c r="F120" s="18"/>
      <x:c r="G120" s="18" t="n">
        <x:v>-418.06</x:v>
      </x:c>
      <x:c r="H120" s="18" t="n">
        <x:f>H119+G120</x:f>
        <x:v>9616594.890000006</x:v>
      </x:c>
    </x:row>
    <x:row r="121">
      <x:c r="A121" s="20" t="n">
        <x:v>46175</x:v>
      </x:c>
      <x:c r="B121" s="21" t="str">
        <x:v>DP-2026-027039</x:v>
      </x:c>
      <x:c r="C121" s="21" t="str">
        <x:v>ACH PAYMENT - Hale-Hart - DP-2026-027039</x:v>
      </x:c>
      <x:c r="D121" s="21" t="str">
        <x:v>Supplier payment</x:v>
      </x:c>
      <x:c r="E121" s="18" t="n">
        <x:v>235.21</x:v>
      </x:c>
      <x:c r="F121" s="18"/>
      <x:c r="G121" s="18" t="n">
        <x:v>-235.21</x:v>
      </x:c>
      <x:c r="H121" s="18" t="n">
        <x:f>H120+G121</x:f>
        <x:v>9616359.680000005</x:v>
      </x:c>
    </x:row>
    <x:row r="122">
      <x:c r="A122" s="20" t="n">
        <x:v>46175</x:v>
      </x:c>
      <x:c r="B122" s="21" t="str">
        <x:v>DP-2026-027045</x:v>
      </x:c>
      <x:c r="C122" s="21" t="str">
        <x:v>ACH PAYMENT - Hernandez, Melendez and Mcdowell - DP-2026-027045</x:v>
      </x:c>
      <x:c r="D122" s="21" t="str">
        <x:v>Supplier payment</x:v>
      </x:c>
      <x:c r="E122" s="18" t="n">
        <x:v>249.26</x:v>
      </x:c>
      <x:c r="F122" s="18"/>
      <x:c r="G122" s="18" t="n">
        <x:v>-249.26</x:v>
      </x:c>
      <x:c r="H122" s="18" t="n">
        <x:f>H121+G122</x:f>
        <x:v>9616110.420000006</x:v>
      </x:c>
    </x:row>
    <x:row r="123">
      <x:c r="A123" s="20" t="n">
        <x:v>46175</x:v>
      </x:c>
      <x:c r="B123" s="21" t="str">
        <x:v>DP-2026-027046</x:v>
      </x:c>
      <x:c r="C123" s="21" t="str">
        <x:v>ACH PAYMENT - Brown-Owens - DP-2026-027046</x:v>
      </x:c>
      <x:c r="D123" s="21" t="str">
        <x:v>Supplier payment</x:v>
      </x:c>
      <x:c r="E123" s="18" t="n">
        <x:v>1347.68</x:v>
      </x:c>
      <x:c r="F123" s="18"/>
      <x:c r="G123" s="18" t="n">
        <x:v>-1347.68</x:v>
      </x:c>
      <x:c r="H123" s="18" t="n">
        <x:f>H122+G123</x:f>
        <x:v>9614762.740000006</x:v>
      </x:c>
    </x:row>
    <x:row r="124">
      <x:c r="A124" s="20" t="n">
        <x:v>46175</x:v>
      </x:c>
      <x:c r="B124" s="21" t="str">
        <x:v>DP-2026-027065</x:v>
      </x:c>
      <x:c r="C124" s="21" t="str">
        <x:v>ACH PAYMENT - King Ltd - DP-2026-027065</x:v>
      </x:c>
      <x:c r="D124" s="21" t="str">
        <x:v>Supplier payment</x:v>
      </x:c>
      <x:c r="E124" s="18" t="n">
        <x:v>2545.81</x:v>
      </x:c>
      <x:c r="F124" s="18"/>
      <x:c r="G124" s="18" t="n">
        <x:v>-2545.81</x:v>
      </x:c>
      <x:c r="H124" s="18" t="n">
        <x:f>H123+G124</x:f>
        <x:v>9612216.930000005</x:v>
      </x:c>
    </x:row>
    <x:row r="125">
      <x:c r="A125" s="20" t="n">
        <x:v>46175</x:v>
      </x:c>
      <x:c r="B125" s="21" t="str">
        <x:v>DP-2026-027067</x:v>
      </x:c>
      <x:c r="C125" s="21" t="str">
        <x:v>ACH PAYMENT - Berger, Stanley and Cooper - DP-2026-027067</x:v>
      </x:c>
      <x:c r="D125" s="21" t="str">
        <x:v>Supplier payment</x:v>
      </x:c>
      <x:c r="E125" s="18" t="n">
        <x:v>1052.84</x:v>
      </x:c>
      <x:c r="F125" s="18"/>
      <x:c r="G125" s="18" t="n">
        <x:v>-1052.84</x:v>
      </x:c>
      <x:c r="H125" s="18" t="n">
        <x:f>H124+G125</x:f>
        <x:v>9611164.090000005</x:v>
      </x:c>
    </x:row>
    <x:row r="126">
      <x:c r="A126" s="20" t="n">
        <x:v>46175</x:v>
      </x:c>
      <x:c r="B126" s="21" t="str">
        <x:v>DP-2026-027070</x:v>
      </x:c>
      <x:c r="C126" s="21" t="str">
        <x:v>ACH PAYMENT - Evans PLC - DP-2026-027070</x:v>
      </x:c>
      <x:c r="D126" s="21" t="str">
        <x:v>Supplier payment</x:v>
      </x:c>
      <x:c r="E126" s="18" t="n">
        <x:v>343.31</x:v>
      </x:c>
      <x:c r="F126" s="18"/>
      <x:c r="G126" s="18" t="n">
        <x:v>-343.31</x:v>
      </x:c>
      <x:c r="H126" s="18" t="n">
        <x:f>H125+G126</x:f>
        <x:v>9610820.780000005</x:v>
      </x:c>
    </x:row>
    <x:row r="127">
      <x:c r="A127" s="20" t="n">
        <x:v>46175</x:v>
      </x:c>
      <x:c r="B127" s="21" t="str">
        <x:v>DP-2026-027075</x:v>
      </x:c>
      <x:c r="C127" s="21" t="str">
        <x:v>ACH PAYMENT - Velasquez-Baxter - DP-2026-027075</x:v>
      </x:c>
      <x:c r="D127" s="21" t="str">
        <x:v>Supplier payment</x:v>
      </x:c>
      <x:c r="E127" s="18" t="n">
        <x:v>110.7</x:v>
      </x:c>
      <x:c r="F127" s="18"/>
      <x:c r="G127" s="18" t="n">
        <x:v>-110.7</x:v>
      </x:c>
      <x:c r="H127" s="18" t="n">
        <x:f>H126+G127</x:f>
        <x:v>9610710.080000006</x:v>
      </x:c>
    </x:row>
    <x:row r="128">
      <x:c r="A128" s="20" t="n">
        <x:v>46175</x:v>
      </x:c>
      <x:c r="B128" s="21" t="str">
        <x:v>DP-2026-027079</x:v>
      </x:c>
      <x:c r="C128" s="21" t="str">
        <x:v>ACH PAYMENT - Velasquez-Baxter - DP-2026-027079</x:v>
      </x:c>
      <x:c r="D128" s="21" t="str">
        <x:v>Supplier payment</x:v>
      </x:c>
      <x:c r="E128" s="18" t="n">
        <x:v>155.64</x:v>
      </x:c>
      <x:c r="F128" s="18"/>
      <x:c r="G128" s="18" t="n">
        <x:v>-155.64</x:v>
      </x:c>
      <x:c r="H128" s="18" t="n">
        <x:f>H127+G128</x:f>
        <x:v>9610554.440000005</x:v>
      </x:c>
    </x:row>
    <x:row r="129">
      <x:c r="A129" s="20" t="n">
        <x:v>46175</x:v>
      </x:c>
      <x:c r="B129" s="21" t="str">
        <x:v>DP-2026-027085</x:v>
      </x:c>
      <x:c r="C129" s="21" t="str">
        <x:v>WIRE TRANSFER PAYMENT - Keith PLC - DP-2026-027085</x:v>
      </x:c>
      <x:c r="D129" s="21" t="str">
        <x:v>Supplier payment</x:v>
      </x:c>
      <x:c r="E129" s="18" t="n">
        <x:v>390.39</x:v>
      </x:c>
      <x:c r="F129" s="18"/>
      <x:c r="G129" s="18" t="n">
        <x:v>-390.39</x:v>
      </x:c>
      <x:c r="H129" s="18" t="n">
        <x:f>H128+G129</x:f>
        <x:v>9610164.050000004</x:v>
      </x:c>
    </x:row>
    <x:row r="130">
      <x:c r="A130" s="20" t="n">
        <x:v>46175</x:v>
      </x:c>
      <x:c r="B130" s="21" t="str">
        <x:v>DP-2026-027271</x:v>
      </x:c>
      <x:c r="C130" s="21" t="str">
        <x:v>ACH PAYMENT - Bell, Pruitt and David - DP-2026-027271</x:v>
      </x:c>
      <x:c r="D130" s="21" t="str">
        <x:v>Supplier payment</x:v>
      </x:c>
      <x:c r="E130" s="18" t="n">
        <x:v>310.96</x:v>
      </x:c>
      <x:c r="F130" s="18"/>
      <x:c r="G130" s="18" t="n">
        <x:v>-310.96</x:v>
      </x:c>
      <x:c r="H130" s="18" t="n">
        <x:f>H129+G130</x:f>
        <x:v>9609853.090000004</x:v>
      </x:c>
    </x:row>
    <x:row r="131">
      <x:c r="A131" s="20" t="n">
        <x:v>46175</x:v>
      </x:c>
      <x:c r="B131" s="21" t="str">
        <x:v>DP-2026-027277</x:v>
      </x:c>
      <x:c r="C131" s="21" t="str">
        <x:v>ACH PAYMENT - Bailey, Gutierrez and Cameron - DP-2026-027277</x:v>
      </x:c>
      <x:c r="D131" s="21" t="str">
        <x:v>Supplier payment</x:v>
      </x:c>
      <x:c r="E131" s="18" t="n">
        <x:v>374.38</x:v>
      </x:c>
      <x:c r="F131" s="18"/>
      <x:c r="G131" s="18" t="n">
        <x:v>-374.38</x:v>
      </x:c>
      <x:c r="H131" s="18" t="n">
        <x:f>H130+G131</x:f>
        <x:v>9609478.710000003</x:v>
      </x:c>
    </x:row>
    <x:row r="132">
      <x:c r="A132" s="20" t="n">
        <x:v>46175</x:v>
      </x:c>
      <x:c r="B132" s="21" t="str">
        <x:v>DP-2026-027287</x:v>
      </x:c>
      <x:c r="C132" s="21" t="str">
        <x:v>ACH PAYMENT - Bell, Pruitt and David - DP-2026-027287</x:v>
      </x:c>
      <x:c r="D132" s="21" t="str">
        <x:v>Supplier payment</x:v>
      </x:c>
      <x:c r="E132" s="18" t="n">
        <x:v>589.51</x:v>
      </x:c>
      <x:c r="F132" s="18"/>
      <x:c r="G132" s="18" t="n">
        <x:v>-589.51</x:v>
      </x:c>
      <x:c r="H132" s="18" t="n">
        <x:f>H131+G132</x:f>
        <x:v>9608889.200000003</x:v>
      </x:c>
    </x:row>
    <x:row r="133">
      <x:c r="A133" s="20" t="n">
        <x:v>46175</x:v>
      </x:c>
      <x:c r="B133" s="21" t="str">
        <x:v>DP-2026-027288</x:v>
      </x:c>
      <x:c r="C133" s="21" t="str">
        <x:v>ACH PAYMENT - Lindsey and Sons - DP-2026-027288</x:v>
      </x:c>
      <x:c r="D133" s="21" t="str">
        <x:v>Supplier payment</x:v>
      </x:c>
      <x:c r="E133" s="18" t="n">
        <x:v>822.45</x:v>
      </x:c>
      <x:c r="F133" s="18"/>
      <x:c r="G133" s="18" t="n">
        <x:v>-822.45</x:v>
      </x:c>
      <x:c r="H133" s="18" t="n">
        <x:f>H132+G133</x:f>
        <x:v>9608066.750000004</x:v>
      </x:c>
    </x:row>
    <x:row r="134">
      <x:c r="A134" s="20" t="n">
        <x:v>46175</x:v>
      </x:c>
      <x:c r="B134" s="21" t="str">
        <x:v>DP-2026-027290</x:v>
      </x:c>
      <x:c r="C134" s="21" t="str">
        <x:v>ACH PAYMENT - Salas, Gallagher and Anderson - DP-2026-027290</x:v>
      </x:c>
      <x:c r="D134" s="21" t="str">
        <x:v>Supplier payment</x:v>
      </x:c>
      <x:c r="E134" s="18" t="n">
        <x:v>407.13</x:v>
      </x:c>
      <x:c r="F134" s="18"/>
      <x:c r="G134" s="18" t="n">
        <x:v>-407.13</x:v>
      </x:c>
      <x:c r="H134" s="18" t="n">
        <x:f>H133+G134</x:f>
        <x:v>9607659.620000003</x:v>
      </x:c>
    </x:row>
    <x:row r="135">
      <x:c r="A135" s="20" t="n">
        <x:v>46175</x:v>
      </x:c>
      <x:c r="B135" s="21" t="str">
        <x:v>DP-2026-027300</x:v>
      </x:c>
      <x:c r="C135" s="21" t="str">
        <x:v>ACH PAYMENT - Hale-Hart - DP-2026-027300</x:v>
      </x:c>
      <x:c r="D135" s="21" t="str">
        <x:v>Supplier payment</x:v>
      </x:c>
      <x:c r="E135" s="18" t="n">
        <x:v>4575.22</x:v>
      </x:c>
      <x:c r="F135" s="18"/>
      <x:c r="G135" s="18" t="n">
        <x:v>-4575.22</x:v>
      </x:c>
      <x:c r="H135" s="18" t="n">
        <x:f>H134+G135</x:f>
        <x:v>9603084.400000002</x:v>
      </x:c>
    </x:row>
    <x:row r="136">
      <x:c r="A136" s="20" t="n">
        <x:v>46175</x:v>
      </x:c>
      <x:c r="B136" s="21" t="str">
        <x:v>DP-2026-027302</x:v>
      </x:c>
      <x:c r="C136" s="21" t="str">
        <x:v>WIRE TRANSFER PAYMENT - Whitaker-Edwards - DP-2026-027302</x:v>
      </x:c>
      <x:c r="D136" s="21" t="str">
        <x:v>Supplier payment</x:v>
      </x:c>
      <x:c r="E136" s="18" t="n">
        <x:v>619.74</x:v>
      </x:c>
      <x:c r="F136" s="18"/>
      <x:c r="G136" s="18" t="n">
        <x:v>-619.74</x:v>
      </x:c>
      <x:c r="H136" s="18" t="n">
        <x:f>H135+G136</x:f>
        <x:v>9602464.660000002</x:v>
      </x:c>
    </x:row>
    <x:row r="137">
      <x:c r="A137" s="20" t="n">
        <x:v>46175</x:v>
      </x:c>
      <x:c r="B137" s="21" t="str">
        <x:v>DP-2026-027310</x:v>
      </x:c>
      <x:c r="C137" s="21" t="str">
        <x:v>WIRE TRANSFER PAYMENT - Hoffman LLC - DP-2026-027310</x:v>
      </x:c>
      <x:c r="D137" s="21" t="str">
        <x:v>Supplier payment</x:v>
      </x:c>
      <x:c r="E137" s="18" t="n">
        <x:v>493.12</x:v>
      </x:c>
      <x:c r="F137" s="18"/>
      <x:c r="G137" s="18" t="n">
        <x:v>-493.12</x:v>
      </x:c>
      <x:c r="H137" s="18" t="n">
        <x:f>H136+G137</x:f>
        <x:v>9601971.540000003</x:v>
      </x:c>
    </x:row>
    <x:row r="138">
      <x:c r="A138" s="20" t="n">
        <x:v>46175</x:v>
      </x:c>
      <x:c r="B138" s="21" t="str">
        <x:v>DP-2026-027313</x:v>
      </x:c>
      <x:c r="C138" s="21" t="str">
        <x:v>ACH PAYMENT - Gomez PLC - DP-2026-027313</x:v>
      </x:c>
      <x:c r="D138" s="21" t="str">
        <x:v>Supplier payment</x:v>
      </x:c>
      <x:c r="E138" s="18" t="n">
        <x:v>116.24</x:v>
      </x:c>
      <x:c r="F138" s="18"/>
      <x:c r="G138" s="18" t="n">
        <x:v>-116.24</x:v>
      </x:c>
      <x:c r="H138" s="18" t="n">
        <x:f>H137+G138</x:f>
        <x:v>9601855.300000003</x:v>
      </x:c>
    </x:row>
    <x:row r="139">
      <x:c r="A139" s="20" t="n">
        <x:v>46175</x:v>
      </x:c>
      <x:c r="B139" s="21" t="str">
        <x:v>DP-2026-027316</x:v>
      </x:c>
      <x:c r="C139" s="21" t="str">
        <x:v>ACH PAYMENT - Lindsey and Sons - DP-2026-027316</x:v>
      </x:c>
      <x:c r="D139" s="21" t="str">
        <x:v>Supplier payment</x:v>
      </x:c>
      <x:c r="E139" s="18" t="n">
        <x:v>656.54</x:v>
      </x:c>
      <x:c r="F139" s="18"/>
      <x:c r="G139" s="18" t="n">
        <x:v>-656.54</x:v>
      </x:c>
      <x:c r="H139" s="18" t="n">
        <x:f>H138+G139</x:f>
        <x:v>9601198.760000004</x:v>
      </x:c>
    </x:row>
    <x:row r="140">
      <x:c r="A140" s="20" t="n">
        <x:v>46175</x:v>
      </x:c>
      <x:c r="B140" s="21" t="str">
        <x:v>DP-2026-027318</x:v>
      </x:c>
      <x:c r="C140" s="21" t="str">
        <x:v>ACH PAYMENT - Hoffman LLC - DP-2026-027318</x:v>
      </x:c>
      <x:c r="D140" s="21" t="str">
        <x:v>Supplier payment</x:v>
      </x:c>
      <x:c r="E140" s="18" t="n">
        <x:v>89.1</x:v>
      </x:c>
      <x:c r="F140" s="18"/>
      <x:c r="G140" s="18" t="n">
        <x:v>-89.1</x:v>
      </x:c>
      <x:c r="H140" s="18" t="n">
        <x:f>H139+G140</x:f>
        <x:v>9601109.660000004</x:v>
      </x:c>
    </x:row>
    <x:row r="141">
      <x:c r="A141" s="20" t="n">
        <x:v>46175</x:v>
      </x:c>
      <x:c r="B141" s="21" t="str">
        <x:v>DP-2026-027323</x:v>
      </x:c>
      <x:c r="C141" s="21" t="str">
        <x:v>ACH PAYMENT - House-Hodges - DP-2026-027323</x:v>
      </x:c>
      <x:c r="D141" s="21" t="str">
        <x:v>Supplier payment</x:v>
      </x:c>
      <x:c r="E141" s="18" t="n">
        <x:v>785.66</x:v>
      </x:c>
      <x:c r="F141" s="18"/>
      <x:c r="G141" s="18" t="n">
        <x:v>-785.66</x:v>
      </x:c>
      <x:c r="H141" s="18" t="n">
        <x:f>H140+G141</x:f>
        <x:v>9600324.000000004</x:v>
      </x:c>
    </x:row>
    <x:row r="142">
      <x:c r="A142" s="20" t="n">
        <x:v>46175</x:v>
      </x:c>
      <x:c r="B142" s="21" t="str">
        <x:v>DP-2026-027326</x:v>
      </x:c>
      <x:c r="C142" s="21" t="str">
        <x:v>WIRE TRANSFER PAYMENT - Peters, Terry and Zimmerman - DP-2026-027326</x:v>
      </x:c>
      <x:c r="D142" s="21" t="str">
        <x:v>Supplier payment</x:v>
      </x:c>
      <x:c r="E142" s="18" t="n">
        <x:v>508.08</x:v>
      </x:c>
      <x:c r="F142" s="18"/>
      <x:c r="G142" s="18" t="n">
        <x:v>-508.08</x:v>
      </x:c>
      <x:c r="H142" s="18" t="n">
        <x:f>H141+G142</x:f>
        <x:v>9599815.920000004</x:v>
      </x:c>
    </x:row>
    <x:row r="143">
      <x:c r="A143" s="20" t="n">
        <x:v>46175</x:v>
      </x:c>
      <x:c r="B143" s="21" t="str">
        <x:v>DP-2026-027329</x:v>
      </x:c>
      <x:c r="C143" s="21" t="str">
        <x:v>ACH PAYMENT - Martinez LLC - DP-2026-027329</x:v>
      </x:c>
      <x:c r="D143" s="21" t="str">
        <x:v>Supplier payment</x:v>
      </x:c>
      <x:c r="E143" s="18" t="n">
        <x:v>284.45</x:v>
      </x:c>
      <x:c r="F143" s="18"/>
      <x:c r="G143" s="18" t="n">
        <x:v>-284.45</x:v>
      </x:c>
      <x:c r="H143" s="18" t="n">
        <x:f>H142+G143</x:f>
        <x:v>9599531.470000004</x:v>
      </x:c>
    </x:row>
    <x:row r="144">
      <x:c r="A144" s="20" t="n">
        <x:v>46175</x:v>
      </x:c>
      <x:c r="B144" s="21" t="str">
        <x:v>DP-2026-027333</x:v>
      </x:c>
      <x:c r="C144" s="21" t="str">
        <x:v>ACH PAYMENT - Hester Ltd - DP-2026-027333</x:v>
      </x:c>
      <x:c r="D144" s="21" t="str">
        <x:v>Supplier payment</x:v>
      </x:c>
      <x:c r="E144" s="18" t="n">
        <x:v>182.85</x:v>
      </x:c>
      <x:c r="F144" s="18"/>
      <x:c r="G144" s="18" t="n">
        <x:v>-182.85</x:v>
      </x:c>
      <x:c r="H144" s="18" t="n">
        <x:f>H143+G144</x:f>
        <x:v>9599348.620000005</x:v>
      </x:c>
    </x:row>
    <x:row r="145">
      <x:c r="A145" s="20" t="n">
        <x:v>46175</x:v>
      </x:c>
      <x:c r="B145" s="21" t="str">
        <x:v>DP-2026-027335</x:v>
      </x:c>
      <x:c r="C145" s="21" t="str">
        <x:v>ACH PAYMENT - Morris, Anderson and Chang - DP-2026-027335</x:v>
      </x:c>
      <x:c r="D145" s="21" t="str">
        <x:v>Supplier payment</x:v>
      </x:c>
      <x:c r="E145" s="18" t="n">
        <x:v>399.54</x:v>
      </x:c>
      <x:c r="F145" s="18"/>
      <x:c r="G145" s="18" t="n">
        <x:v>-399.54</x:v>
      </x:c>
      <x:c r="H145" s="18" t="n">
        <x:f>H144+G145</x:f>
        <x:v>9598949.080000006</x:v>
      </x:c>
    </x:row>
    <x:row r="146">
      <x:c r="A146" s="20" t="n">
        <x:v>46175</x:v>
      </x:c>
      <x:c r="B146" s="21" t="str">
        <x:v>DP-2026-027337</x:v>
      </x:c>
      <x:c r="C146" s="21" t="str">
        <x:v>ACH PAYMENT - Bell, Pruitt and David - DP-2026-027337</x:v>
      </x:c>
      <x:c r="D146" s="21" t="str">
        <x:v>Supplier payment</x:v>
      </x:c>
      <x:c r="E146" s="18" t="n">
        <x:v>958.06</x:v>
      </x:c>
      <x:c r="F146" s="18"/>
      <x:c r="G146" s="18" t="n">
        <x:v>-958.06</x:v>
      </x:c>
      <x:c r="H146" s="18" t="n">
        <x:f>H145+G146</x:f>
        <x:v>9597991.020000005</x:v>
      </x:c>
    </x:row>
    <x:row r="147">
      <x:c r="A147" s="20" t="n">
        <x:v>46175</x:v>
      </x:c>
      <x:c r="B147" s="21" t="str">
        <x:v>DP-2026-027340</x:v>
      </x:c>
      <x:c r="C147" s="21" t="str">
        <x:v>WIRE TRANSFER PAYMENT - Perez-Byrd - DP-2026-027340</x:v>
      </x:c>
      <x:c r="D147" s="21" t="str">
        <x:v>Supplier payment</x:v>
      </x:c>
      <x:c r="E147" s="18" t="n">
        <x:v>694.68</x:v>
      </x:c>
      <x:c r="F147" s="18"/>
      <x:c r="G147" s="18" t="n">
        <x:v>-694.68</x:v>
      </x:c>
      <x:c r="H147" s="18" t="n">
        <x:f>H146+G147</x:f>
        <x:v>9597296.340000005</x:v>
      </x:c>
    </x:row>
    <x:row r="148">
      <x:c r="A148" s="20" t="n">
        <x:v>46175</x:v>
      </x:c>
      <x:c r="B148" s="21" t="str">
        <x:v>DP-2026-027343</x:v>
      </x:c>
      <x:c r="C148" s="21" t="str">
        <x:v>ACH PAYMENT - Duran, Mccarthy and Myers - DP-2026-027343</x:v>
      </x:c>
      <x:c r="D148" s="21" t="str">
        <x:v>Supplier payment</x:v>
      </x:c>
      <x:c r="E148" s="18" t="n">
        <x:v>434.58</x:v>
      </x:c>
      <x:c r="F148" s="18"/>
      <x:c r="G148" s="18" t="n">
        <x:v>-434.58</x:v>
      </x:c>
      <x:c r="H148" s="18" t="n">
        <x:f>H147+G148</x:f>
        <x:v>9596861.760000005</x:v>
      </x:c>
    </x:row>
    <x:row r="149">
      <x:c r="A149" s="20" t="n">
        <x:v>46175</x:v>
      </x:c>
      <x:c r="B149" s="21" t="str">
        <x:v>DP-2026-027347</x:v>
      </x:c>
      <x:c r="C149" s="21" t="str">
        <x:v>ACH PAYMENT - Brooks, Johnson and Olson - DP-2026-027347</x:v>
      </x:c>
      <x:c r="D149" s="21" t="str">
        <x:v>Supplier payment</x:v>
      </x:c>
      <x:c r="E149" s="18" t="n">
        <x:v>191.68</x:v>
      </x:c>
      <x:c r="F149" s="18"/>
      <x:c r="G149" s="18" t="n">
        <x:v>-191.68</x:v>
      </x:c>
      <x:c r="H149" s="18" t="n">
        <x:f>H148+G149</x:f>
        <x:v>9596670.080000006</x:v>
      </x:c>
    </x:row>
    <x:row r="150">
      <x:c r="A150" s="20" t="n">
        <x:v>46175</x:v>
      </x:c>
      <x:c r="B150" s="21" t="str">
        <x:v>DP-2026-027349</x:v>
      </x:c>
      <x:c r="C150" s="21" t="str">
        <x:v>ACH PAYMENT - Wright, Sanchez and Garza - DP-2026-027349</x:v>
      </x:c>
      <x:c r="D150" s="21" t="str">
        <x:v>Supplier payment</x:v>
      </x:c>
      <x:c r="E150" s="18" t="n">
        <x:v>709.04</x:v>
      </x:c>
      <x:c r="F150" s="18"/>
      <x:c r="G150" s="18" t="n">
        <x:v>-709.04</x:v>
      </x:c>
      <x:c r="H150" s="18" t="n">
        <x:f>H149+G150</x:f>
        <x:v>9595961.040000007</x:v>
      </x:c>
    </x:row>
    <x:row r="151">
      <x:c r="A151" s="20" t="n">
        <x:v>46175</x:v>
      </x:c>
      <x:c r="B151" s="21" t="str">
        <x:v>DP-2026-027354</x:v>
      </x:c>
      <x:c r="C151" s="21" t="str">
        <x:v>ACH PAYMENT - Velasquez-Baxter - DP-2026-027354</x:v>
      </x:c>
      <x:c r="D151" s="21" t="str">
        <x:v>Supplier payment</x:v>
      </x:c>
      <x:c r="E151" s="18" t="n">
        <x:v>0.25</x:v>
      </x:c>
      <x:c r="F151" s="18"/>
      <x:c r="G151" s="18" t="n">
        <x:v>-0.25</x:v>
      </x:c>
      <x:c r="H151" s="18" t="n">
        <x:f>H150+G151</x:f>
        <x:v>9595960.790000007</x:v>
      </x:c>
    </x:row>
    <x:row r="152">
      <x:c r="A152" s="20" t="n">
        <x:v>46175</x:v>
      </x:c>
      <x:c r="B152" s="21" t="str">
        <x:v>DP-2026-027356</x:v>
      </x:c>
      <x:c r="C152" s="21" t="str">
        <x:v>WIRE TRANSFER PAYMENT - Patterson-Smith - DP-2026-027356</x:v>
      </x:c>
      <x:c r="D152" s="21" t="str">
        <x:v>Supplier payment</x:v>
      </x:c>
      <x:c r="E152" s="18" t="n">
        <x:v>576.72</x:v>
      </x:c>
      <x:c r="F152" s="18"/>
      <x:c r="G152" s="18" t="n">
        <x:v>-576.72</x:v>
      </x:c>
      <x:c r="H152" s="18" t="n">
        <x:f>H151+G152</x:f>
        <x:v>9595384.070000006</x:v>
      </x:c>
    </x:row>
    <x:row r="153">
      <x:c r="A153" s="20" t="n">
        <x:v>46175</x:v>
      </x:c>
      <x:c r="B153" s="21" t="str">
        <x:v>DP-2026-027357</x:v>
      </x:c>
      <x:c r="C153" s="21" t="str">
        <x:v>ACH PAYMENT - Brooks, Johnson and Olson - DP-2026-027357</x:v>
      </x:c>
      <x:c r="D153" s="21" t="str">
        <x:v>Supplier payment</x:v>
      </x:c>
      <x:c r="E153" s="18" t="n">
        <x:v>93.97</x:v>
      </x:c>
      <x:c r="F153" s="18"/>
      <x:c r="G153" s="18" t="n">
        <x:v>-93.97</x:v>
      </x:c>
      <x:c r="H153" s="18" t="n">
        <x:f>H152+G153</x:f>
        <x:v>9595290.100000005</x:v>
      </x:c>
    </x:row>
    <x:row r="154">
      <x:c r="A154" s="20" t="n">
        <x:v>46175</x:v>
      </x:c>
      <x:c r="B154" s="21" t="str">
        <x:v>DP-2026-027365</x:v>
      </x:c>
      <x:c r="C154" s="21" t="str">
        <x:v>ACH PAYMENT - Stokes, Mann and Keller - DP-2026-027365</x:v>
      </x:c>
      <x:c r="D154" s="21" t="str">
        <x:v>Supplier payment</x:v>
      </x:c>
      <x:c r="E154" s="18" t="n">
        <x:v>162.18</x:v>
      </x:c>
      <x:c r="F154" s="18"/>
      <x:c r="G154" s="18" t="n">
        <x:v>-162.18</x:v>
      </x:c>
      <x:c r="H154" s="18" t="n">
        <x:f>H153+G154</x:f>
        <x:v>9595127.920000006</x:v>
      </x:c>
    </x:row>
    <x:row r="155">
      <x:c r="A155" s="20" t="n">
        <x:v>46175</x:v>
      </x:c>
      <x:c r="B155" s="21" t="str">
        <x:v>DP-2026-027370</x:v>
      </x:c>
      <x:c r="C155" s="21" t="str">
        <x:v>ACH PAYMENT - Harris, Taylor and Perkins - DP-2026-027370</x:v>
      </x:c>
      <x:c r="D155" s="21" t="str">
        <x:v>Supplier payment</x:v>
      </x:c>
      <x:c r="E155" s="18" t="n">
        <x:v>411.1</x:v>
      </x:c>
      <x:c r="F155" s="18"/>
      <x:c r="G155" s="18" t="n">
        <x:v>-411.1</x:v>
      </x:c>
      <x:c r="H155" s="18" t="n">
        <x:f>H154+G155</x:f>
        <x:v>9594716.820000006</x:v>
      </x:c>
    </x:row>
    <x:row r="156">
      <x:c r="A156" s="20" t="n">
        <x:v>46175</x:v>
      </x:c>
      <x:c r="B156" s="21" t="str">
        <x:v>DP-2026-027373</x:v>
      </x:c>
      <x:c r="C156" s="21" t="str">
        <x:v>ACH PAYMENT - Keith PLC - DP-2026-027373</x:v>
      </x:c>
      <x:c r="D156" s="21" t="str">
        <x:v>Supplier payment</x:v>
      </x:c>
      <x:c r="E156" s="18" t="n">
        <x:v>293.62</x:v>
      </x:c>
      <x:c r="F156" s="18"/>
      <x:c r="G156" s="18" t="n">
        <x:v>-293.62</x:v>
      </x:c>
      <x:c r="H156" s="18" t="n">
        <x:f>H155+G156</x:f>
        <x:v>9594423.200000007</x:v>
      </x:c>
    </x:row>
    <x:row r="157">
      <x:c r="A157" s="20" t="n">
        <x:v>46175</x:v>
      </x:c>
      <x:c r="B157" s="21" t="str">
        <x:v>DP-2026-027376</x:v>
      </x:c>
      <x:c r="C157" s="21" t="str">
        <x:v>ACH PAYMENT - Turner PLC - DP-2026-027376</x:v>
      </x:c>
      <x:c r="D157" s="21" t="str">
        <x:v>Supplier payment</x:v>
      </x:c>
      <x:c r="E157" s="18" t="n">
        <x:v>2074.54</x:v>
      </x:c>
      <x:c r="F157" s="18"/>
      <x:c r="G157" s="18" t="n">
        <x:v>-2074.54</x:v>
      </x:c>
      <x:c r="H157" s="18" t="n">
        <x:f>H156+G157</x:f>
        <x:v>9592348.660000008</x:v>
      </x:c>
    </x:row>
    <x:row r="158">
      <x:c r="A158" s="20" t="n">
        <x:v>46175</x:v>
      </x:c>
      <x:c r="B158" s="21" t="str">
        <x:v>DP-2026-027378</x:v>
      </x:c>
      <x:c r="C158" s="21" t="str">
        <x:v>WIRE TRANSFER PAYMENT - Day PLC - DP-2026-027378</x:v>
      </x:c>
      <x:c r="D158" s="21" t="str">
        <x:v>Supplier payment</x:v>
      </x:c>
      <x:c r="E158" s="18" t="n">
        <x:v>611.32</x:v>
      </x:c>
      <x:c r="F158" s="18"/>
      <x:c r="G158" s="18" t="n">
        <x:v>-611.32</x:v>
      </x:c>
      <x:c r="H158" s="18" t="n">
        <x:f>H157+G158</x:f>
        <x:v>9591737.340000007</x:v>
      </x:c>
    </x:row>
    <x:row r="159">
      <x:c r="A159" s="20" t="n">
        <x:v>46175</x:v>
      </x:c>
      <x:c r="B159" s="21" t="str">
        <x:v>DP-2026-027382</x:v>
      </x:c>
      <x:c r="C159" s="21" t="str">
        <x:v>WIRE TRANSFER PAYMENT - Hernandez, Melendez and Mcdowell - DP-2026-027382</x:v>
      </x:c>
      <x:c r="D159" s="21" t="str">
        <x:v>Supplier payment</x:v>
      </x:c>
      <x:c r="E159" s="18" t="n">
        <x:v>959.44</x:v>
      </x:c>
      <x:c r="F159" s="18"/>
      <x:c r="G159" s="18" t="n">
        <x:v>-959.44</x:v>
      </x:c>
      <x:c r="H159" s="18" t="n">
        <x:f>H158+G159</x:f>
        <x:v>9590777.900000008</x:v>
      </x:c>
    </x:row>
    <x:row r="160">
      <x:c r="A160" s="20" t="n">
        <x:v>46175</x:v>
      </x:c>
      <x:c r="B160" s="21" t="str">
        <x:v>DP-2026-027389</x:v>
      </x:c>
      <x:c r="C160" s="21" t="str">
        <x:v>ACH PAYMENT - Torres Ltd - DP-2026-027389</x:v>
      </x:c>
      <x:c r="D160" s="21" t="str">
        <x:v>Supplier payment</x:v>
      </x:c>
      <x:c r="E160" s="18" t="n">
        <x:v>1245.18</x:v>
      </x:c>
      <x:c r="F160" s="18"/>
      <x:c r="G160" s="18" t="n">
        <x:v>-1245.18</x:v>
      </x:c>
      <x:c r="H160" s="18" t="n">
        <x:f>H159+G160</x:f>
        <x:v>9589532.720000008</x:v>
      </x:c>
    </x:row>
    <x:row r="161">
      <x:c r="A161" s="20" t="n">
        <x:v>46175</x:v>
      </x:c>
      <x:c r="B161" s="21" t="str">
        <x:v>DP-2026-027393</x:v>
      </x:c>
      <x:c r="C161" s="21" t="str">
        <x:v>ACH PAYMENT - Lyons-Sheppard - DP-2026-027393</x:v>
      </x:c>
      <x:c r="D161" s="21" t="str">
        <x:v>Supplier payment</x:v>
      </x:c>
      <x:c r="E161" s="18" t="n">
        <x:v>646.25</x:v>
      </x:c>
      <x:c r="F161" s="18"/>
      <x:c r="G161" s="18" t="n">
        <x:v>-646.25</x:v>
      </x:c>
      <x:c r="H161" s="18" t="n">
        <x:f>H160+G161</x:f>
        <x:v>9588886.470000008</x:v>
      </x:c>
    </x:row>
    <x:row r="162">
      <x:c r="A162" s="20" t="n">
        <x:v>46175</x:v>
      </x:c>
      <x:c r="B162" s="21" t="str">
        <x:v>DP-2026-027398</x:v>
      </x:c>
      <x:c r="C162" s="21" t="str">
        <x:v>WIRE TRANSFER PAYMENT - Martinez, Green and Gentry - DP-2026-027398</x:v>
      </x:c>
      <x:c r="D162" s="21" t="str">
        <x:v>Supplier payment</x:v>
      </x:c>
      <x:c r="E162" s="18" t="n">
        <x:v>1629.76</x:v>
      </x:c>
      <x:c r="F162" s="18"/>
      <x:c r="G162" s="18" t="n">
        <x:v>-1629.76</x:v>
      </x:c>
      <x:c r="H162" s="18" t="n">
        <x:f>H161+G162</x:f>
        <x:v>9587256.710000008</x:v>
      </x:c>
    </x:row>
    <x:row r="163">
      <x:c r="A163" s="20" t="n">
        <x:v>46175</x:v>
      </x:c>
      <x:c r="B163" s="21" t="str">
        <x:v>DP-2026-027416</x:v>
      </x:c>
      <x:c r="C163" s="21" t="str">
        <x:v>ACH PAYMENT - Brooks, Johnson and Olson - DP-2026-027416</x:v>
      </x:c>
      <x:c r="D163" s="21" t="str">
        <x:v>Supplier payment</x:v>
      </x:c>
      <x:c r="E163" s="18" t="n">
        <x:v>322.24</x:v>
      </x:c>
      <x:c r="F163" s="18"/>
      <x:c r="G163" s="18" t="n">
        <x:v>-322.24</x:v>
      </x:c>
      <x:c r="H163" s="18" t="n">
        <x:f>H162+G163</x:f>
        <x:v>9586934.470000008</x:v>
      </x:c>
    </x:row>
    <x:row r="164">
      <x:c r="A164" s="20" t="n">
        <x:v>46175</x:v>
      </x:c>
      <x:c r="B164" s="21" t="str">
        <x:v>DP-2026-027419</x:v>
      </x:c>
      <x:c r="C164" s="21" t="str">
        <x:v>ACH PAYMENT - Brooks, Johnson and Olson - DP-2026-027419</x:v>
      </x:c>
      <x:c r="D164" s="21" t="str">
        <x:v>Supplier payment</x:v>
      </x:c>
      <x:c r="E164" s="18" t="n">
        <x:v>370.46</x:v>
      </x:c>
      <x:c r="F164" s="18"/>
      <x:c r="G164" s="18" t="n">
        <x:v>-370.46</x:v>
      </x:c>
      <x:c r="H164" s="18" t="n">
        <x:f>H163+G164</x:f>
        <x:v>9586564.010000007</x:v>
      </x:c>
    </x:row>
    <x:row r="165">
      <x:c r="A165" s="20" t="n">
        <x:v>46175</x:v>
      </x:c>
      <x:c r="B165" s="21" t="str">
        <x:v>DP-2026-027429</x:v>
      </x:c>
      <x:c r="C165" s="21" t="str">
        <x:v>ACH PAYMENT - Potter-Gross - DP-2026-027429</x:v>
      </x:c>
      <x:c r="D165" s="21" t="str">
        <x:v>Supplier payment</x:v>
      </x:c>
      <x:c r="E165" s="18" t="n">
        <x:v>530.97</x:v>
      </x:c>
      <x:c r="F165" s="18"/>
      <x:c r="G165" s="18" t="n">
        <x:v>-530.97</x:v>
      </x:c>
      <x:c r="H165" s="18" t="n">
        <x:f>H164+G165</x:f>
        <x:v>9586033.040000007</x:v>
      </x:c>
    </x:row>
    <x:row r="166">
      <x:c r="A166" s="20" t="n">
        <x:v>46175</x:v>
      </x:c>
      <x:c r="B166" s="21" t="str">
        <x:v>DP-2026-027438</x:v>
      </x:c>
      <x:c r="C166" s="21" t="str">
        <x:v>ACH PAYMENT - Martinez, Green and Gentry - DP-2026-027438</x:v>
      </x:c>
      <x:c r="D166" s="21" t="str">
        <x:v>Supplier payment</x:v>
      </x:c>
      <x:c r="E166" s="18" t="n">
        <x:v>2174</x:v>
      </x:c>
      <x:c r="F166" s="18"/>
      <x:c r="G166" s="18" t="n">
        <x:v>-2174</x:v>
      </x:c>
      <x:c r="H166" s="18" t="n">
        <x:f>H165+G166</x:f>
        <x:v>9583859.040000007</x:v>
      </x:c>
    </x:row>
    <x:row r="167">
      <x:c r="A167" s="20" t="n">
        <x:v>46175</x:v>
      </x:c>
      <x:c r="B167" s="21" t="str">
        <x:v>DP-2026-027439</x:v>
      </x:c>
      <x:c r="C167" s="21" t="str">
        <x:v>ACH PAYMENT - Anderson-Lara - DP-2026-027439</x:v>
      </x:c>
      <x:c r="D167" s="21" t="str">
        <x:v>Supplier payment</x:v>
      </x:c>
      <x:c r="E167" s="18" t="n">
        <x:v>206.52</x:v>
      </x:c>
      <x:c r="F167" s="18"/>
      <x:c r="G167" s="18" t="n">
        <x:v>-206.52</x:v>
      </x:c>
      <x:c r="H167" s="18" t="n">
        <x:f>H166+G167</x:f>
        <x:v>9583652.520000007</x:v>
      </x:c>
    </x:row>
    <x:row r="168">
      <x:c r="A168" s="20" t="n">
        <x:v>46175</x:v>
      </x:c>
      <x:c r="B168" s="21" t="str">
        <x:v>DP-2026-027441</x:v>
      </x:c>
      <x:c r="C168" s="21" t="str">
        <x:v>ACH PAYMENT - Hester Ltd - DP-2026-027441</x:v>
      </x:c>
      <x:c r="D168" s="21" t="str">
        <x:v>Supplier payment</x:v>
      </x:c>
      <x:c r="E168" s="18" t="n">
        <x:v>593.26</x:v>
      </x:c>
      <x:c r="F168" s="18"/>
      <x:c r="G168" s="18" t="n">
        <x:v>-593.26</x:v>
      </x:c>
      <x:c r="H168" s="18" t="n">
        <x:f>H167+G168</x:f>
        <x:v>9583059.260000007</x:v>
      </x:c>
    </x:row>
    <x:row r="169">
      <x:c r="A169" s="20" t="n">
        <x:v>46175</x:v>
      </x:c>
      <x:c r="B169" s="21" t="str">
        <x:v>DP-2026-027442</x:v>
      </x:c>
      <x:c r="C169" s="21" t="str">
        <x:v>ACH PAYMENT - Bell, Pruitt and David - DP-2026-027442</x:v>
      </x:c>
      <x:c r="D169" s="21" t="str">
        <x:v>Supplier payment</x:v>
      </x:c>
      <x:c r="E169" s="18" t="n">
        <x:v>401.45</x:v>
      </x:c>
      <x:c r="F169" s="18"/>
      <x:c r="G169" s="18" t="n">
        <x:v>-401.45</x:v>
      </x:c>
      <x:c r="H169" s="18" t="n">
        <x:f>H168+G169</x:f>
        <x:v>9582657.810000008</x:v>
      </x:c>
    </x:row>
    <x:row r="170">
      <x:c r="A170" s="20" t="n">
        <x:v>46175</x:v>
      </x:c>
      <x:c r="B170" s="21" t="str">
        <x:v>DP-2026-027448</x:v>
      </x:c>
      <x:c r="C170" s="21" t="str">
        <x:v>ACH PAYMENT - Peters, Terry and Zimmerman - DP-2026-027448</x:v>
      </x:c>
      <x:c r="D170" s="21" t="str">
        <x:v>Supplier payment</x:v>
      </x:c>
      <x:c r="E170" s="18" t="n">
        <x:v>19.81</x:v>
      </x:c>
      <x:c r="F170" s="18"/>
      <x:c r="G170" s="18" t="n">
        <x:v>-19.81</x:v>
      </x:c>
      <x:c r="H170" s="18" t="n">
        <x:f>H169+G170</x:f>
        <x:v>9582638.000000007</x:v>
      </x:c>
    </x:row>
    <x:row r="171">
      <x:c r="A171" s="20" t="n">
        <x:v>46175</x:v>
      </x:c>
      <x:c r="B171" s="21" t="str">
        <x:v>DP-2026-027449</x:v>
      </x:c>
      <x:c r="C171" s="21" t="str">
        <x:v>ACH PAYMENT - Watson, Mitchell and Chen - DP-2026-027449</x:v>
      </x:c>
      <x:c r="D171" s="21" t="str">
        <x:v>Supplier payment</x:v>
      </x:c>
      <x:c r="E171" s="18" t="n">
        <x:v>2518.11</x:v>
      </x:c>
      <x:c r="F171" s="18"/>
      <x:c r="G171" s="18" t="n">
        <x:v>-2518.11</x:v>
      </x:c>
      <x:c r="H171" s="18" t="n">
        <x:f>H170+G171</x:f>
        <x:v>9580119.890000008</x:v>
      </x:c>
    </x:row>
    <x:row r="172">
      <x:c r="A172" s="20" t="n">
        <x:v>46175</x:v>
      </x:c>
      <x:c r="B172" s="21" t="str">
        <x:v>DP-2026-027450</x:v>
      </x:c>
      <x:c r="C172" s="21" t="str">
        <x:v>WIRE TRANSFER PAYMENT - Robinson Ltd - DP-2026-027450</x:v>
      </x:c>
      <x:c r="D172" s="21" t="str">
        <x:v>Supplier payment</x:v>
      </x:c>
      <x:c r="E172" s="18" t="n">
        <x:v>1104.77</x:v>
      </x:c>
      <x:c r="F172" s="18"/>
      <x:c r="G172" s="18" t="n">
        <x:v>-1104.77</x:v>
      </x:c>
      <x:c r="H172" s="18" t="n">
        <x:f>H171+G172</x:f>
        <x:v>9579015.120000008</x:v>
      </x:c>
    </x:row>
    <x:row r="173">
      <x:c r="A173" s="20" t="n">
        <x:v>46175</x:v>
      </x:c>
      <x:c r="B173" s="21" t="str">
        <x:v>DP-2026-027454</x:v>
      </x:c>
      <x:c r="C173" s="21" t="str">
        <x:v>ACH PAYMENT - Harris, Taylor and Perkins - DP-2026-027454</x:v>
      </x:c>
      <x:c r="D173" s="21" t="str">
        <x:v>Supplier payment</x:v>
      </x:c>
      <x:c r="E173" s="18" t="n">
        <x:v>1759.01</x:v>
      </x:c>
      <x:c r="F173" s="18"/>
      <x:c r="G173" s="18" t="n">
        <x:v>-1759.01</x:v>
      </x:c>
      <x:c r="H173" s="18" t="n">
        <x:f>H172+G173</x:f>
        <x:v>9577256.110000009</x:v>
      </x:c>
    </x:row>
    <x:row r="174">
      <x:c r="A174" s="20" t="n">
        <x:v>46175</x:v>
      </x:c>
      <x:c r="B174" s="21" t="str">
        <x:v>DP-2026-027456</x:v>
      </x:c>
      <x:c r="C174" s="21" t="str">
        <x:v>ACH PAYMENT - Velasquez-Baxter - DP-2026-027456</x:v>
      </x:c>
      <x:c r="D174" s="21" t="str">
        <x:v>Supplier payment</x:v>
      </x:c>
      <x:c r="E174" s="18" t="n">
        <x:v>154.84</x:v>
      </x:c>
      <x:c r="F174" s="18"/>
      <x:c r="G174" s="18" t="n">
        <x:v>-154.84</x:v>
      </x:c>
      <x:c r="H174" s="18" t="n">
        <x:f>H173+G174</x:f>
        <x:v>9577101.270000009</x:v>
      </x:c>
    </x:row>
    <x:row r="175">
      <x:c r="A175" s="20" t="n">
        <x:v>46175</x:v>
      </x:c>
      <x:c r="B175" s="21" t="str">
        <x:v>DP-2026-027457</x:v>
      </x:c>
      <x:c r="C175" s="21" t="str">
        <x:v>ACH PAYMENT - Rodriguez, Myers and Grimes - DP-2026-027457</x:v>
      </x:c>
      <x:c r="D175" s="21" t="str">
        <x:v>Supplier payment</x:v>
      </x:c>
      <x:c r="E175" s="18" t="n">
        <x:v>395.24</x:v>
      </x:c>
      <x:c r="F175" s="18"/>
      <x:c r="G175" s="18" t="n">
        <x:v>-395.24</x:v>
      </x:c>
      <x:c r="H175" s="18" t="n">
        <x:f>H174+G175</x:f>
        <x:v>9576706.030000009</x:v>
      </x:c>
    </x:row>
    <x:row r="176">
      <x:c r="A176" s="20" t="n">
        <x:v>46175</x:v>
      </x:c>
      <x:c r="B176" s="21" t="str">
        <x:v>DP-2026-027464</x:v>
      </x:c>
      <x:c r="C176" s="21" t="str">
        <x:v>ACH PAYMENT - Keith PLC - DP-2026-027464</x:v>
      </x:c>
      <x:c r="D176" s="21" t="str">
        <x:v>Supplier payment</x:v>
      </x:c>
      <x:c r="E176" s="18" t="n">
        <x:v>172.97</x:v>
      </x:c>
      <x:c r="F176" s="18"/>
      <x:c r="G176" s="18" t="n">
        <x:v>-172.97</x:v>
      </x:c>
      <x:c r="H176" s="18" t="n">
        <x:f>H175+G176</x:f>
        <x:v>9576533.060000008</x:v>
      </x:c>
    </x:row>
    <x:row r="177">
      <x:c r="A177" s="20" t="n">
        <x:v>46175</x:v>
      </x:c>
      <x:c r="B177" s="21" t="str">
        <x:v>DP-2026-027465</x:v>
      </x:c>
      <x:c r="C177" s="21" t="str">
        <x:v>ACH PAYMENT - Peters, Terry and Zimmerman - DP-2026-027465</x:v>
      </x:c>
      <x:c r="D177" s="21" t="str">
        <x:v>Supplier payment</x:v>
      </x:c>
      <x:c r="E177" s="18" t="n">
        <x:v>763.05</x:v>
      </x:c>
      <x:c r="F177" s="18"/>
      <x:c r="G177" s="18" t="n">
        <x:v>-763.05</x:v>
      </x:c>
      <x:c r="H177" s="18" t="n">
        <x:f>H176+G177</x:f>
        <x:v>9575770.010000007</x:v>
      </x:c>
    </x:row>
    <x:row r="178">
      <x:c r="A178" s="20" t="n">
        <x:v>46175</x:v>
      </x:c>
      <x:c r="B178" s="21" t="str">
        <x:v>DP-2026-027469</x:v>
      </x:c>
      <x:c r="C178" s="21" t="str">
        <x:v>ACH PAYMENT - Diaz Group - DP-2026-027469</x:v>
      </x:c>
      <x:c r="D178" s="21" t="str">
        <x:v>Supplier payment</x:v>
      </x:c>
      <x:c r="E178" s="18" t="n">
        <x:v>63.54</x:v>
      </x:c>
      <x:c r="F178" s="18"/>
      <x:c r="G178" s="18" t="n">
        <x:v>-63.54</x:v>
      </x:c>
      <x:c r="H178" s="18" t="n">
        <x:f>H177+G178</x:f>
        <x:v>9575706.470000008</x:v>
      </x:c>
    </x:row>
    <x:row r="179">
      <x:c r="A179" s="20" t="n">
        <x:v>46175</x:v>
      </x:c>
      <x:c r="B179" s="21" t="str">
        <x:v>DP-2026-027471</x:v>
      </x:c>
      <x:c r="C179" s="21" t="str">
        <x:v>ACH PAYMENT - Gay, Clark and Hickman - DP-2026-027471</x:v>
      </x:c>
      <x:c r="D179" s="21" t="str">
        <x:v>Supplier payment</x:v>
      </x:c>
      <x:c r="E179" s="18" t="n">
        <x:v>366.63</x:v>
      </x:c>
      <x:c r="F179" s="18"/>
      <x:c r="G179" s="18" t="n">
        <x:v>-366.63</x:v>
      </x:c>
      <x:c r="H179" s="18" t="n">
        <x:f>H178+G179</x:f>
        <x:v>9575339.840000007</x:v>
      </x:c>
    </x:row>
    <x:row r="180">
      <x:c r="A180" s="20" t="n">
        <x:v>46175</x:v>
      </x:c>
      <x:c r="B180" s="21" t="str">
        <x:v>DP-2026-027473</x:v>
      </x:c>
      <x:c r="C180" s="21" t="str">
        <x:v>ACH PAYMENT - Hale-Hart - DP-2026-027473</x:v>
      </x:c>
      <x:c r="D180" s="21" t="str">
        <x:v>Supplier payment</x:v>
      </x:c>
      <x:c r="E180" s="18" t="n">
        <x:v>163.05</x:v>
      </x:c>
      <x:c r="F180" s="18"/>
      <x:c r="G180" s="18" t="n">
        <x:v>-163.05</x:v>
      </x:c>
      <x:c r="H180" s="18" t="n">
        <x:f>H179+G180</x:f>
        <x:v>9575176.790000007</x:v>
      </x:c>
    </x:row>
    <x:row r="181">
      <x:c r="A181" s="20" t="n">
        <x:v>46175</x:v>
      </x:c>
      <x:c r="B181" s="21" t="str">
        <x:v>DP-2026-027476</x:v>
      </x:c>
      <x:c r="C181" s="21" t="str">
        <x:v>ACH PAYMENT - Anderson-Lara - DP-2026-027476</x:v>
      </x:c>
      <x:c r="D181" s="21" t="str">
        <x:v>Supplier payment</x:v>
      </x:c>
      <x:c r="E181" s="18" t="n">
        <x:v>1325.7</x:v>
      </x:c>
      <x:c r="F181" s="18"/>
      <x:c r="G181" s="18" t="n">
        <x:v>-1325.7</x:v>
      </x:c>
      <x:c r="H181" s="18" t="n">
        <x:f>H180+G181</x:f>
        <x:v>9573851.090000007</x:v>
      </x:c>
    </x:row>
    <x:row r="182">
      <x:c r="A182" s="20" t="n">
        <x:v>46175</x:v>
      </x:c>
      <x:c r="B182" s="21" t="str">
        <x:v>DP-2026-027486</x:v>
      </x:c>
      <x:c r="C182" s="21" t="str">
        <x:v>WIRE TRANSFER PAYMENT - Nguyen-Weaver - DP-2026-027486</x:v>
      </x:c>
      <x:c r="D182" s="21" t="str">
        <x:v>Supplier payment</x:v>
      </x:c>
      <x:c r="E182" s="18" t="n">
        <x:v>34</x:v>
      </x:c>
      <x:c r="F182" s="18"/>
      <x:c r="G182" s="18" t="n">
        <x:v>-34</x:v>
      </x:c>
      <x:c r="H182" s="18" t="n">
        <x:f>H181+G182</x:f>
        <x:v>9573817.090000007</x:v>
      </x:c>
    </x:row>
    <x:row r="183">
      <x:c r="A183" s="20" t="n">
        <x:v>46175</x:v>
      </x:c>
      <x:c r="B183" s="21" t="str">
        <x:v>DP-2026-027487</x:v>
      </x:c>
      <x:c r="C183" s="21" t="str">
        <x:v>ACH PAYMENT - Velasquez-Baxter - DP-2026-027487</x:v>
      </x:c>
      <x:c r="D183" s="21" t="str">
        <x:v>Supplier payment</x:v>
      </x:c>
      <x:c r="E183" s="18" t="n">
        <x:v>320.08</x:v>
      </x:c>
      <x:c r="F183" s="18"/>
      <x:c r="G183" s="18" t="n">
        <x:v>-320.08</x:v>
      </x:c>
      <x:c r="H183" s="18" t="n">
        <x:f>H182+G183</x:f>
        <x:v>9573497.010000007</x:v>
      </x:c>
    </x:row>
    <x:row r="184">
      <x:c r="A184" s="20" t="n">
        <x:v>46175</x:v>
      </x:c>
      <x:c r="B184" s="21" t="str">
        <x:v>DP-2026-027489</x:v>
      </x:c>
      <x:c r="C184" s="21" t="str">
        <x:v>ACH PAYMENT - Peters, Terry and Zimmerman - DP-2026-027489</x:v>
      </x:c>
      <x:c r="D184" s="21" t="str">
        <x:v>Supplier payment</x:v>
      </x:c>
      <x:c r="E184" s="18" t="n">
        <x:v>256.34</x:v>
      </x:c>
      <x:c r="F184" s="18"/>
      <x:c r="G184" s="18" t="n">
        <x:v>-256.34</x:v>
      </x:c>
      <x:c r="H184" s="18" t="n">
        <x:f>H183+G184</x:f>
        <x:v>9573240.670000007</x:v>
      </x:c>
    </x:row>
    <x:row r="185">
      <x:c r="A185" s="20" t="n">
        <x:v>46175</x:v>
      </x:c>
      <x:c r="B185" s="21" t="str">
        <x:v>DP-2026-027490</x:v>
      </x:c>
      <x:c r="C185" s="21" t="str">
        <x:v>WIRE TRANSFER PAYMENT - Murphy, Williams and Sanders - DP-2026-027490</x:v>
      </x:c>
      <x:c r="D185" s="21" t="str">
        <x:v>Supplier payment</x:v>
      </x:c>
      <x:c r="E185" s="18" t="n">
        <x:v>342.7</x:v>
      </x:c>
      <x:c r="F185" s="18"/>
      <x:c r="G185" s="18" t="n">
        <x:v>-342.7</x:v>
      </x:c>
      <x:c r="H185" s="18" t="n">
        <x:f>H184+G185</x:f>
        <x:v>9572897.970000008</x:v>
      </x:c>
    </x:row>
    <x:row r="186">
      <x:c r="A186" s="20" t="n">
        <x:v>46175</x:v>
      </x:c>
      <x:c r="B186" s="21" t="str">
        <x:v>DP-2026-027510</x:v>
      </x:c>
      <x:c r="C186" s="21" t="str">
        <x:v>ACH PAYMENT - Velasquez-Baxter - DP-2026-027510</x:v>
      </x:c>
      <x:c r="D186" s="21" t="str">
        <x:v>Supplier payment</x:v>
      </x:c>
      <x:c r="E186" s="18" t="n">
        <x:v>642.38</x:v>
      </x:c>
      <x:c r="F186" s="18"/>
      <x:c r="G186" s="18" t="n">
        <x:v>-642.38</x:v>
      </x:c>
      <x:c r="H186" s="18" t="n">
        <x:f>H185+G186</x:f>
        <x:v>9572255.590000007</x:v>
      </x:c>
    </x:row>
    <x:row r="187">
      <x:c r="A187" s="20" t="n">
        <x:v>46175</x:v>
      </x:c>
      <x:c r="B187" s="21" t="str">
        <x:v>DP-2026-027511</x:v>
      </x:c>
      <x:c r="C187" s="21" t="str">
        <x:v>ACH PAYMENT - Garcia Group - DP-2026-027511</x:v>
      </x:c>
      <x:c r="D187" s="21" t="str">
        <x:v>Supplier payment</x:v>
      </x:c>
      <x:c r="E187" s="18" t="n">
        <x:v>276.28</x:v>
      </x:c>
      <x:c r="F187" s="18"/>
      <x:c r="G187" s="18" t="n">
        <x:v>-276.28</x:v>
      </x:c>
      <x:c r="H187" s="18" t="n">
        <x:f>H186+G187</x:f>
        <x:v>9571979.310000008</x:v>
      </x:c>
    </x:row>
    <x:row r="188">
      <x:c r="A188" s="20" t="n">
        <x:v>46175</x:v>
      </x:c>
      <x:c r="B188" s="21" t="str">
        <x:v>DP-2026-027517</x:v>
      </x:c>
      <x:c r="C188" s="21" t="str">
        <x:v>ACH PAYMENT - Hester Ltd - DP-2026-027517</x:v>
      </x:c>
      <x:c r="D188" s="21" t="str">
        <x:v>Supplier payment</x:v>
      </x:c>
      <x:c r="E188" s="18" t="n">
        <x:v>1010.88</x:v>
      </x:c>
      <x:c r="F188" s="18"/>
      <x:c r="G188" s="18" t="n">
        <x:v>-1010.88</x:v>
      </x:c>
      <x:c r="H188" s="18" t="n">
        <x:f>H187+G188</x:f>
        <x:v>9570968.430000007</x:v>
      </x:c>
    </x:row>
    <x:row r="189">
      <x:c r="A189" s="20" t="n">
        <x:v>46175</x:v>
      </x:c>
      <x:c r="B189" s="21" t="str">
        <x:v>DP-2026-027523</x:v>
      </x:c>
      <x:c r="C189" s="21" t="str">
        <x:v>ACH PAYMENT - Hale-Hart - DP-2026-027523</x:v>
      </x:c>
      <x:c r="D189" s="21" t="str">
        <x:v>Supplier payment</x:v>
      </x:c>
      <x:c r="E189" s="18" t="n">
        <x:v>789.71</x:v>
      </x:c>
      <x:c r="F189" s="18"/>
      <x:c r="G189" s="18" t="n">
        <x:v>-789.71</x:v>
      </x:c>
      <x:c r="H189" s="18" t="n">
        <x:f>H188+G189</x:f>
        <x:v>9570178.720000006</x:v>
      </x:c>
    </x:row>
    <x:row r="190">
      <x:c r="A190" s="20" t="n">
        <x:v>46175</x:v>
      </x:c>
      <x:c r="B190" s="21" t="str">
        <x:v>DP-2026-027525</x:v>
      </x:c>
      <x:c r="C190" s="21" t="str">
        <x:v>ACH PAYMENT - Nguyen-Davis - DP-2026-027525</x:v>
      </x:c>
      <x:c r="D190" s="21" t="str">
        <x:v>Supplier payment</x:v>
      </x:c>
      <x:c r="E190" s="18" t="n">
        <x:v>258.4</x:v>
      </x:c>
      <x:c r="F190" s="18"/>
      <x:c r="G190" s="18" t="n">
        <x:v>-258.4</x:v>
      </x:c>
      <x:c r="H190" s="18" t="n">
        <x:f>H189+G190</x:f>
        <x:v>9569920.320000006</x:v>
      </x:c>
    </x:row>
    <x:row r="191">
      <x:c r="A191" s="20" t="n">
        <x:v>46175</x:v>
      </x:c>
      <x:c r="B191" s="21" t="str">
        <x:v>DP-2026-027535</x:v>
      </x:c>
      <x:c r="C191" s="21" t="str">
        <x:v>ACH PAYMENT - Martinez LLC - DP-2026-027535</x:v>
      </x:c>
      <x:c r="D191" s="21" t="str">
        <x:v>Supplier payment</x:v>
      </x:c>
      <x:c r="E191" s="18" t="n">
        <x:v>98.75</x:v>
      </x:c>
      <x:c r="F191" s="18"/>
      <x:c r="G191" s="18" t="n">
        <x:v>-98.75</x:v>
      </x:c>
      <x:c r="H191" s="18" t="n">
        <x:f>H190+G191</x:f>
        <x:v>9569821.570000006</x:v>
      </x:c>
    </x:row>
    <x:row r="192">
      <x:c r="A192" s="20" t="n">
        <x:v>46175</x:v>
      </x:c>
      <x:c r="B192" s="21" t="str">
        <x:v>DP-2026-027537</x:v>
      </x:c>
      <x:c r="C192" s="21" t="str">
        <x:v>WIRE TRANSFER PAYMENT - Hester Ltd - DP-2026-027537</x:v>
      </x:c>
      <x:c r="D192" s="21" t="str">
        <x:v>Supplier payment</x:v>
      </x:c>
      <x:c r="E192" s="18" t="n">
        <x:v>1610.49</x:v>
      </x:c>
      <x:c r="F192" s="18"/>
      <x:c r="G192" s="18" t="n">
        <x:v>-1610.49</x:v>
      </x:c>
      <x:c r="H192" s="18" t="n">
        <x:f>H191+G192</x:f>
        <x:v>9568211.080000006</x:v>
      </x:c>
    </x:row>
    <x:row r="193">
      <x:c r="A193" s="20" t="n">
        <x:v>46175</x:v>
      </x:c>
      <x:c r="B193" s="21" t="str">
        <x:v>DP-2026-027547</x:v>
      </x:c>
      <x:c r="C193" s="21" t="str">
        <x:v>ACH PAYMENT - Berger, Stanley and Cooper - DP-2026-027547</x:v>
      </x:c>
      <x:c r="D193" s="21" t="str">
        <x:v>Supplier payment</x:v>
      </x:c>
      <x:c r="E193" s="18" t="n">
        <x:v>624.59</x:v>
      </x:c>
      <x:c r="F193" s="18"/>
      <x:c r="G193" s="18" t="n">
        <x:v>-624.59</x:v>
      </x:c>
      <x:c r="H193" s="18" t="n">
        <x:f>H192+G193</x:f>
        <x:v>9567586.490000006</x:v>
      </x:c>
    </x:row>
    <x:row r="194">
      <x:c r="A194" s="20" t="n">
        <x:v>46175</x:v>
      </x:c>
      <x:c r="B194" s="21" t="str">
        <x:v>DP-2026-027548</x:v>
      </x:c>
      <x:c r="C194" s="21" t="str">
        <x:v>ACH PAYMENT - Lindsey and Sons - DP-2026-027548</x:v>
      </x:c>
      <x:c r="D194" s="21" t="str">
        <x:v>Supplier payment</x:v>
      </x:c>
      <x:c r="E194" s="18" t="n">
        <x:v>46.29</x:v>
      </x:c>
      <x:c r="F194" s="18"/>
      <x:c r="G194" s="18" t="n">
        <x:v>-46.29</x:v>
      </x:c>
      <x:c r="H194" s="18" t="n">
        <x:f>H193+G194</x:f>
        <x:v>9567540.200000007</x:v>
      </x:c>
    </x:row>
    <x:row r="195">
      <x:c r="A195" s="20" t="n">
        <x:v>46175</x:v>
      </x:c>
      <x:c r="B195" s="21" t="str">
        <x:v>DP-2026-027553</x:v>
      </x:c>
      <x:c r="C195" s="21" t="str">
        <x:v>WIRE TRANSFER PAYMENT - Keith PLC - DP-2026-027553</x:v>
      </x:c>
      <x:c r="D195" s="21" t="str">
        <x:v>Supplier payment</x:v>
      </x:c>
      <x:c r="E195" s="18" t="n">
        <x:v>319.55</x:v>
      </x:c>
      <x:c r="F195" s="18"/>
      <x:c r="G195" s="18" t="n">
        <x:v>-319.55</x:v>
      </x:c>
      <x:c r="H195" s="18" t="n">
        <x:f>H194+G195</x:f>
        <x:v>9567220.650000006</x:v>
      </x:c>
    </x:row>
    <x:row r="196">
      <x:c r="A196" s="20" t="n">
        <x:v>46175</x:v>
      </x:c>
      <x:c r="B196" s="21" t="str">
        <x:v>DP-2026-027557</x:v>
      </x:c>
      <x:c r="C196" s="21" t="str">
        <x:v>ACH PAYMENT - Collins-Johnson - DP-2026-027557</x:v>
      </x:c>
      <x:c r="D196" s="21" t="str">
        <x:v>Supplier payment</x:v>
      </x:c>
      <x:c r="E196" s="18" t="n">
        <x:v>239.86</x:v>
      </x:c>
      <x:c r="F196" s="18"/>
      <x:c r="G196" s="18" t="n">
        <x:v>-239.86</x:v>
      </x:c>
      <x:c r="H196" s="18" t="n">
        <x:f>H195+G196</x:f>
        <x:v>9566980.790000007</x:v>
      </x:c>
    </x:row>
    <x:row r="197">
      <x:c r="A197" s="20" t="n">
        <x:v>46175</x:v>
      </x:c>
      <x:c r="B197" s="21" t="str">
        <x:v>DP-2026-027563</x:v>
      </x:c>
      <x:c r="C197" s="21" t="str">
        <x:v>ACH PAYMENT - Velasquez-Baxter - DP-2026-027563</x:v>
      </x:c>
      <x:c r="D197" s="21" t="str">
        <x:v>Supplier payment</x:v>
      </x:c>
      <x:c r="E197" s="18" t="n">
        <x:v>349.26</x:v>
      </x:c>
      <x:c r="F197" s="18"/>
      <x:c r="G197" s="18" t="n">
        <x:v>-349.26</x:v>
      </x:c>
      <x:c r="H197" s="18" t="n">
        <x:f>H196+G197</x:f>
        <x:v>9566631.530000007</x:v>
      </x:c>
    </x:row>
    <x:row r="198">
      <x:c r="A198" s="20" t="n">
        <x:v>46175</x:v>
      </x:c>
      <x:c r="B198" s="21" t="str">
        <x:v>DP-2026-027566</x:v>
      </x:c>
      <x:c r="C198" s="21" t="str">
        <x:v>WIRE TRANSFER PAYMENT - Keith PLC - DP-2026-027566</x:v>
      </x:c>
      <x:c r="D198" s="21" t="str">
        <x:v>Supplier payment</x:v>
      </x:c>
      <x:c r="E198" s="18" t="n">
        <x:v>61.51</x:v>
      </x:c>
      <x:c r="F198" s="18"/>
      <x:c r="G198" s="18" t="n">
        <x:v>-61.51</x:v>
      </x:c>
      <x:c r="H198" s="18" t="n">
        <x:f>H197+G198</x:f>
        <x:v>9566570.020000007</x:v>
      </x:c>
    </x:row>
    <x:row r="199">
      <x:c r="A199" s="20" t="n">
        <x:v>46175</x:v>
      </x:c>
      <x:c r="B199" s="21" t="str">
        <x:v>DP-2026-027570</x:v>
      </x:c>
      <x:c r="C199" s="21" t="str">
        <x:v>WIRE TRANSFER PAYMENT - Keith PLC - DP-2026-027570</x:v>
      </x:c>
      <x:c r="D199" s="21" t="str">
        <x:v>Supplier payment</x:v>
      </x:c>
      <x:c r="E199" s="18" t="n">
        <x:v>159.19</x:v>
      </x:c>
      <x:c r="F199" s="18"/>
      <x:c r="G199" s="18" t="n">
        <x:v>-159.19</x:v>
      </x:c>
      <x:c r="H199" s="18" t="n">
        <x:f>H198+G199</x:f>
        <x:v>9566410.830000008</x:v>
      </x:c>
    </x:row>
    <x:row r="200">
      <x:c r="A200" s="20" t="n">
        <x:v>46175</x:v>
      </x:c>
      <x:c r="B200" s="21" t="str">
        <x:v>DP-2026-027571</x:v>
      </x:c>
      <x:c r="C200" s="21" t="str">
        <x:v>ACH PAYMENT - Robinson Ltd - DP-2026-027571</x:v>
      </x:c>
      <x:c r="D200" s="21" t="str">
        <x:v>Supplier payment</x:v>
      </x:c>
      <x:c r="E200" s="18" t="n">
        <x:v>592.88</x:v>
      </x:c>
      <x:c r="F200" s="18"/>
      <x:c r="G200" s="18" t="n">
        <x:v>-592.88</x:v>
      </x:c>
      <x:c r="H200" s="18" t="n">
        <x:f>H199+G200</x:f>
        <x:v>9565817.950000007</x:v>
      </x:c>
    </x:row>
    <x:row r="201">
      <x:c r="A201" s="20" t="n">
        <x:v>46175</x:v>
      </x:c>
      <x:c r="B201" s="21" t="str">
        <x:v>DP-2026-027575</x:v>
      </x:c>
      <x:c r="C201" s="21" t="str">
        <x:v>WIRE TRANSFER PAYMENT - Villarreal, Mcdonald and Scott - DP-2026-027575</x:v>
      </x:c>
      <x:c r="D201" s="21" t="str">
        <x:v>Supplier payment</x:v>
      </x:c>
      <x:c r="E201" s="18" t="n">
        <x:v>856.98</x:v>
      </x:c>
      <x:c r="F201" s="18"/>
      <x:c r="G201" s="18" t="n">
        <x:v>-856.98</x:v>
      </x:c>
      <x:c r="H201" s="18" t="n">
        <x:f>H200+G201</x:f>
        <x:v>9564960.970000006</x:v>
      </x:c>
    </x:row>
    <x:row r="202">
      <x:c r="A202" s="20" t="n">
        <x:v>46175</x:v>
      </x:c>
      <x:c r="B202" s="21" t="str">
        <x:v>DP-2026-027578</x:v>
      </x:c>
      <x:c r="C202" s="21" t="str">
        <x:v>ACH PAYMENT - Collins-Johnson - DP-2026-027578</x:v>
      </x:c>
      <x:c r="D202" s="21" t="str">
        <x:v>Supplier payment</x:v>
      </x:c>
      <x:c r="E202" s="18" t="n">
        <x:v>1305.35</x:v>
      </x:c>
      <x:c r="F202" s="18"/>
      <x:c r="G202" s="18" t="n">
        <x:v>-1305.35</x:v>
      </x:c>
      <x:c r="H202" s="18" t="n">
        <x:f>H201+G202</x:f>
        <x:v>9563655.620000007</x:v>
      </x:c>
    </x:row>
    <x:row r="203">
      <x:c r="A203" s="20" t="n">
        <x:v>46175</x:v>
      </x:c>
      <x:c r="B203" s="21" t="str">
        <x:v>DP-2026-027586</x:v>
      </x:c>
      <x:c r="C203" s="21" t="str">
        <x:v>ACH PAYMENT - Hernandez, Melendez and Mcdowell - DP-2026-027586</x:v>
      </x:c>
      <x:c r="D203" s="21" t="str">
        <x:v>Supplier payment</x:v>
      </x:c>
      <x:c r="E203" s="18" t="n">
        <x:v>1168.95</x:v>
      </x:c>
      <x:c r="F203" s="18"/>
      <x:c r="G203" s="18" t="n">
        <x:v>-1168.95</x:v>
      </x:c>
      <x:c r="H203" s="18" t="n">
        <x:f>H202+G203</x:f>
        <x:v>9562486.670000007</x:v>
      </x:c>
    </x:row>
    <x:row r="204">
      <x:c r="A204" s="20" t="n">
        <x:v>46175</x:v>
      </x:c>
      <x:c r="B204" s="21" t="str">
        <x:v>DP-2026-027588</x:v>
      </x:c>
      <x:c r="C204" s="21" t="str">
        <x:v>ACH PAYMENT - Hernandez PLC - DP-2026-027588</x:v>
      </x:c>
      <x:c r="D204" s="21" t="str">
        <x:v>Supplier payment</x:v>
      </x:c>
      <x:c r="E204" s="18" t="n">
        <x:v>1334.93</x:v>
      </x:c>
      <x:c r="F204" s="18"/>
      <x:c r="G204" s="18" t="n">
        <x:v>-1334.93</x:v>
      </x:c>
      <x:c r="H204" s="18" t="n">
        <x:f>H203+G204</x:f>
        <x:v>9561151.740000008</x:v>
      </x:c>
    </x:row>
    <x:row r="205">
      <x:c r="A205" s="20" t="n">
        <x:v>46175</x:v>
      </x:c>
      <x:c r="B205" s="21" t="str">
        <x:v>DP-2026-027593</x:v>
      </x:c>
      <x:c r="C205" s="21" t="str">
        <x:v>WIRE TRANSFER PAYMENT - Brooks, Johnson and Olson - DP-2026-027593</x:v>
      </x:c>
      <x:c r="D205" s="21" t="str">
        <x:v>Supplier payment</x:v>
      </x:c>
      <x:c r="E205" s="18" t="n">
        <x:v>118.65</x:v>
      </x:c>
      <x:c r="F205" s="18"/>
      <x:c r="G205" s="18" t="n">
        <x:v>-118.65</x:v>
      </x:c>
      <x:c r="H205" s="18" t="n">
        <x:f>H204+G205</x:f>
        <x:v>9561033.090000007</x:v>
      </x:c>
    </x:row>
    <x:row r="206">
      <x:c r="A206" s="20" t="n">
        <x:v>46175</x:v>
      </x:c>
      <x:c r="B206" s="21" t="str">
        <x:v>DP-2026-027607</x:v>
      </x:c>
      <x:c r="C206" s="21" t="str">
        <x:v>WIRE TRANSFER PAYMENT - Morris-Taylor - DP-2026-027607</x:v>
      </x:c>
      <x:c r="D206" s="21" t="str">
        <x:v>Supplier payment</x:v>
      </x:c>
      <x:c r="E206" s="18" t="n">
        <x:v>91.93</x:v>
      </x:c>
      <x:c r="F206" s="18"/>
      <x:c r="G206" s="18" t="n">
        <x:v>-91.93</x:v>
      </x:c>
      <x:c r="H206" s="18" t="n">
        <x:f>H205+G206</x:f>
        <x:v>9560941.160000008</x:v>
      </x:c>
    </x:row>
    <x:row r="207">
      <x:c r="A207" s="20" t="n">
        <x:v>46175</x:v>
      </x:c>
      <x:c r="B207" s="21" t="str">
        <x:v>DP-2026-027623</x:v>
      </x:c>
      <x:c r="C207" s="21" t="str">
        <x:v>ACH PAYMENT - Hester Ltd - DP-2026-027623</x:v>
      </x:c>
      <x:c r="D207" s="21" t="str">
        <x:v>Supplier payment</x:v>
      </x:c>
      <x:c r="E207" s="18" t="n">
        <x:v>0.56</x:v>
      </x:c>
      <x:c r="F207" s="18"/>
      <x:c r="G207" s="18" t="n">
        <x:v>-0.56</x:v>
      </x:c>
      <x:c r="H207" s="18" t="n">
        <x:f>H206+G207</x:f>
        <x:v>9560940.600000007</x:v>
      </x:c>
    </x:row>
    <x:row r="208">
      <x:c r="A208" s="20" t="n">
        <x:v>46175</x:v>
      </x:c>
      <x:c r="B208" s="21" t="str">
        <x:v>DP-2026-027629</x:v>
      </x:c>
      <x:c r="C208" s="21" t="str">
        <x:v>ACH PAYMENT - Kaufman-Williams - DP-2026-027629</x:v>
      </x:c>
      <x:c r="D208" s="21" t="str">
        <x:v>Supplier payment</x:v>
      </x:c>
      <x:c r="E208" s="18" t="n">
        <x:v>1106.04</x:v>
      </x:c>
      <x:c r="F208" s="18"/>
      <x:c r="G208" s="18" t="n">
        <x:v>-1106.04</x:v>
      </x:c>
      <x:c r="H208" s="18" t="n">
        <x:f>H207+G208</x:f>
        <x:v>9559834.560000008</x:v>
      </x:c>
    </x:row>
    <x:row r="209">
      <x:c r="A209" s="20" t="n">
        <x:v>46175</x:v>
      </x:c>
      <x:c r="B209" s="21" t="str">
        <x:v>DP-2026-027633</x:v>
      </x:c>
      <x:c r="C209" s="21" t="str">
        <x:v>ACH PAYMENT - Hernandez PLC - DP-2026-027633</x:v>
      </x:c>
      <x:c r="D209" s="21" t="str">
        <x:v>Supplier payment</x:v>
      </x:c>
      <x:c r="E209" s="18" t="n">
        <x:v>939.39</x:v>
      </x:c>
      <x:c r="F209" s="18"/>
      <x:c r="G209" s="18" t="n">
        <x:v>-939.39</x:v>
      </x:c>
      <x:c r="H209" s="18" t="n">
        <x:f>H208+G209</x:f>
        <x:v>9558895.170000007</x:v>
      </x:c>
    </x:row>
    <x:row r="210">
      <x:c r="A210" s="20" t="n">
        <x:v>46175</x:v>
      </x:c>
      <x:c r="B210" s="21" t="str">
        <x:v>DP-2026-027651</x:v>
      </x:c>
      <x:c r="C210" s="21" t="str">
        <x:v>ACH PAYMENT - Gardner-Shelton - DP-2026-027651</x:v>
      </x:c>
      <x:c r="D210" s="21" t="str">
        <x:v>Supplier payment</x:v>
      </x:c>
      <x:c r="E210" s="18" t="n">
        <x:v>573.26</x:v>
      </x:c>
      <x:c r="F210" s="18"/>
      <x:c r="G210" s="18" t="n">
        <x:v>-573.26</x:v>
      </x:c>
      <x:c r="H210" s="18" t="n">
        <x:f>H209+G210</x:f>
        <x:v>9558321.910000008</x:v>
      </x:c>
    </x:row>
    <x:row r="211">
      <x:c r="A211" s="20" t="n">
        <x:v>46175</x:v>
      </x:c>
      <x:c r="B211" s="21" t="str">
        <x:v>DP-2026-027657</x:v>
      </x:c>
      <x:c r="C211" s="21" t="str">
        <x:v>ACH PAYMENT - Marks, Mitchell and Hernandez - DP-2026-027657</x:v>
      </x:c>
      <x:c r="D211" s="21" t="str">
        <x:v>Supplier payment</x:v>
      </x:c>
      <x:c r="E211" s="18" t="n">
        <x:v>1135.12</x:v>
      </x:c>
      <x:c r="F211" s="18"/>
      <x:c r="G211" s="18" t="n">
        <x:v>-1135.12</x:v>
      </x:c>
      <x:c r="H211" s="18" t="n">
        <x:f>H210+G211</x:f>
        <x:v>9557186.790000008</x:v>
      </x:c>
    </x:row>
    <x:row r="212">
      <x:c r="A212" s="20" t="n">
        <x:v>46175</x:v>
      </x:c>
      <x:c r="B212" s="21" t="str">
        <x:v>DP-2026-027668</x:v>
      </x:c>
      <x:c r="C212" s="21" t="str">
        <x:v>WIRE TRANSFER PAYMENT - Keith PLC - DP-2026-027668</x:v>
      </x:c>
      <x:c r="D212" s="21" t="str">
        <x:v>Supplier payment</x:v>
      </x:c>
      <x:c r="E212" s="18" t="n">
        <x:v>136.45</x:v>
      </x:c>
      <x:c r="F212" s="18"/>
      <x:c r="G212" s="18" t="n">
        <x:v>-136.45</x:v>
      </x:c>
      <x:c r="H212" s="18" t="n">
        <x:f>H211+G212</x:f>
        <x:v>9557050.34000001</x:v>
      </x:c>
    </x:row>
    <x:row r="213">
      <x:c r="A213" s="20" t="n">
        <x:v>46175</x:v>
      </x:c>
      <x:c r="B213" s="21" t="str">
        <x:v>DP-2026-027672</x:v>
      </x:c>
      <x:c r="C213" s="21" t="str">
        <x:v>ACH PAYMENT - Brooks, Johnson and Olson - DP-2026-027672</x:v>
      </x:c>
      <x:c r="D213" s="21" t="str">
        <x:v>Supplier payment</x:v>
      </x:c>
      <x:c r="E213" s="18" t="n">
        <x:v>293.26</x:v>
      </x:c>
      <x:c r="F213" s="18"/>
      <x:c r="G213" s="18" t="n">
        <x:v>-293.26</x:v>
      </x:c>
      <x:c r="H213" s="18" t="n">
        <x:f>H212+G213</x:f>
        <x:v>9556757.08000001</x:v>
      </x:c>
    </x:row>
    <x:row r="214">
      <x:c r="A214" s="20" t="n">
        <x:v>46175</x:v>
      </x:c>
      <x:c r="B214" s="21" t="str">
        <x:v>DP-2026-027683</x:v>
      </x:c>
      <x:c r="C214" s="21" t="str">
        <x:v>ACH PAYMENT - Collins-Johnson - DP-2026-027683</x:v>
      </x:c>
      <x:c r="D214" s="21" t="str">
        <x:v>Supplier payment</x:v>
      </x:c>
      <x:c r="E214" s="18" t="n">
        <x:v>260.66</x:v>
      </x:c>
      <x:c r="F214" s="18"/>
      <x:c r="G214" s="18" t="n">
        <x:v>-260.66</x:v>
      </x:c>
      <x:c r="H214" s="18" t="n">
        <x:f>H213+G214</x:f>
        <x:v>9556496.42000001</x:v>
      </x:c>
    </x:row>
    <x:row r="215">
      <x:c r="A215" s="20" t="n">
        <x:v>46175</x:v>
      </x:c>
      <x:c r="B215" s="21" t="str">
        <x:v>DP-2026-027685</x:v>
      </x:c>
      <x:c r="C215" s="21" t="str">
        <x:v>ACH PAYMENT - Bell, Pruitt and David - DP-2026-027685</x:v>
      </x:c>
      <x:c r="D215" s="21" t="str">
        <x:v>Supplier payment</x:v>
      </x:c>
      <x:c r="E215" s="18" t="n">
        <x:v>21.74</x:v>
      </x:c>
      <x:c r="F215" s="18"/>
      <x:c r="G215" s="18" t="n">
        <x:v>-21.74</x:v>
      </x:c>
      <x:c r="H215" s="18" t="n">
        <x:f>H214+G215</x:f>
        <x:v>9556474.680000009</x:v>
      </x:c>
    </x:row>
    <x:row r="216">
      <x:c r="A216" s="20" t="n">
        <x:v>46175</x:v>
      </x:c>
      <x:c r="B216" s="21" t="str">
        <x:v>DP-2026-027693</x:v>
      </x:c>
      <x:c r="C216" s="21" t="str">
        <x:v>ACH PAYMENT - Pena, Clayton and Ward - DP-2026-027693</x:v>
      </x:c>
      <x:c r="D216" s="21" t="str">
        <x:v>Supplier payment</x:v>
      </x:c>
      <x:c r="E216" s="18" t="n">
        <x:v>234.89</x:v>
      </x:c>
      <x:c r="F216" s="18"/>
      <x:c r="G216" s="18" t="n">
        <x:v>-234.89</x:v>
      </x:c>
      <x:c r="H216" s="18" t="n">
        <x:f>H215+G216</x:f>
        <x:v>9556239.790000008</x:v>
      </x:c>
    </x:row>
    <x:row r="217">
      <x:c r="A217" s="20" t="n">
        <x:v>46175</x:v>
      </x:c>
      <x:c r="B217" s="21" t="str">
        <x:v>DP-2026-027696</x:v>
      </x:c>
      <x:c r="C217" s="21" t="str">
        <x:v>ACH PAYMENT - Watson, Mitchell and Chen - DP-2026-027696</x:v>
      </x:c>
      <x:c r="D217" s="21" t="str">
        <x:v>Supplier payment</x:v>
      </x:c>
      <x:c r="E217" s="18" t="n">
        <x:v>267.74</x:v>
      </x:c>
      <x:c r="F217" s="18"/>
      <x:c r="G217" s="18" t="n">
        <x:v>-267.74</x:v>
      </x:c>
      <x:c r="H217" s="18" t="n">
        <x:f>H216+G217</x:f>
        <x:v>9555972.050000008</x:v>
      </x:c>
    </x:row>
    <x:row r="218">
      <x:c r="A218" s="20" t="n">
        <x:v>46175</x:v>
      </x:c>
      <x:c r="B218" s="21" t="str">
        <x:v>DP-2026-027700</x:v>
      </x:c>
      <x:c r="C218" s="21" t="str">
        <x:v>WIRE TRANSFER PAYMENT - Lindsey and Sons - DP-2026-027700</x:v>
      </x:c>
      <x:c r="D218" s="21" t="str">
        <x:v>Supplier payment</x:v>
      </x:c>
      <x:c r="E218" s="18" t="n">
        <x:v>695.08</x:v>
      </x:c>
      <x:c r="F218" s="18"/>
      <x:c r="G218" s="18" t="n">
        <x:v>-695.08</x:v>
      </x:c>
      <x:c r="H218" s="18" t="n">
        <x:f>H217+G218</x:f>
        <x:v>9555276.970000008</x:v>
      </x:c>
    </x:row>
    <x:row r="219">
      <x:c r="A219" s="20" t="n">
        <x:v>46175</x:v>
      </x:c>
      <x:c r="B219" s="21" t="str">
        <x:v>DP-2026-027715</x:v>
      </x:c>
      <x:c r="C219" s="21" t="str">
        <x:v>ACH PAYMENT - Harris, Taylor and Perkins - DP-2026-027715</x:v>
      </x:c>
      <x:c r="D219" s="21" t="str">
        <x:v>Supplier payment</x:v>
      </x:c>
      <x:c r="E219" s="18" t="n">
        <x:v>133.82</x:v>
      </x:c>
      <x:c r="F219" s="18"/>
      <x:c r="G219" s="18" t="n">
        <x:v>-133.82</x:v>
      </x:c>
      <x:c r="H219" s="18" t="n">
        <x:f>H218+G219</x:f>
        <x:v>9555143.150000008</x:v>
      </x:c>
    </x:row>
    <x:row r="220">
      <x:c r="A220" s="20" t="n">
        <x:v>46175</x:v>
      </x:c>
      <x:c r="B220" s="21" t="str">
        <x:v>DP-2026-027718</x:v>
      </x:c>
      <x:c r="C220" s="21" t="str">
        <x:v>WIRE TRANSFER PAYMENT - Berger, Stanley and Cooper - DP-2026-027718</x:v>
      </x:c>
      <x:c r="D220" s="21" t="str">
        <x:v>Supplier payment</x:v>
      </x:c>
      <x:c r="E220" s="18" t="n">
        <x:v>138.47</x:v>
      </x:c>
      <x:c r="F220" s="18"/>
      <x:c r="G220" s="18" t="n">
        <x:v>-138.47</x:v>
      </x:c>
      <x:c r="H220" s="18" t="n">
        <x:f>H219+G220</x:f>
        <x:v>9555004.680000007</x:v>
      </x:c>
    </x:row>
    <x:row r="221">
      <x:c r="A221" s="20" t="n">
        <x:v>46175</x:v>
      </x:c>
      <x:c r="B221" s="21" t="str">
        <x:v>DP-2026-027725</x:v>
      </x:c>
      <x:c r="C221" s="21" t="str">
        <x:v>ACH PAYMENT - Garcia Group - DP-2026-027725</x:v>
      </x:c>
      <x:c r="D221" s="21" t="str">
        <x:v>Supplier payment</x:v>
      </x:c>
      <x:c r="E221" s="18" t="n">
        <x:v>1106.14</x:v>
      </x:c>
      <x:c r="F221" s="18"/>
      <x:c r="G221" s="18" t="n">
        <x:v>-1106.14</x:v>
      </x:c>
      <x:c r="H221" s="18" t="n">
        <x:f>H220+G221</x:f>
        <x:v>9553898.540000007</x:v>
      </x:c>
    </x:row>
    <x:row r="222">
      <x:c r="A222" s="20" t="n">
        <x:v>46175</x:v>
      </x:c>
      <x:c r="B222" s="21" t="str">
        <x:v>DP-2026-027728</x:v>
      </x:c>
      <x:c r="C222" s="21" t="str">
        <x:v>ACH PAYMENT - Torres Ltd - DP-2026-027728</x:v>
      </x:c>
      <x:c r="D222" s="21" t="str">
        <x:v>Supplier payment</x:v>
      </x:c>
      <x:c r="E222" s="18" t="n">
        <x:v>818.96</x:v>
      </x:c>
      <x:c r="F222" s="18"/>
      <x:c r="G222" s="18" t="n">
        <x:v>-818.96</x:v>
      </x:c>
      <x:c r="H222" s="18" t="n">
        <x:f>H221+G222</x:f>
        <x:v>9553079.580000006</x:v>
      </x:c>
    </x:row>
    <x:row r="223">
      <x:c r="A223" s="20" t="n">
        <x:v>46175</x:v>
      </x:c>
      <x:c r="B223" s="21" t="str">
        <x:v>DP-2026-027744</x:v>
      </x:c>
      <x:c r="C223" s="21" t="str">
        <x:v>ACH PAYMENT - Anderson-Lara - DP-2026-027744</x:v>
      </x:c>
      <x:c r="D223" s="21" t="str">
        <x:v>Supplier payment</x:v>
      </x:c>
      <x:c r="E223" s="18" t="n">
        <x:v>729.2</x:v>
      </x:c>
      <x:c r="F223" s="18"/>
      <x:c r="G223" s="18" t="n">
        <x:v>-729.2</x:v>
      </x:c>
      <x:c r="H223" s="18" t="n">
        <x:f>H222+G223</x:f>
        <x:v>9552350.380000006</x:v>
      </x:c>
    </x:row>
    <x:row r="224">
      <x:c r="A224" s="20" t="n">
        <x:v>46175</x:v>
      </x:c>
      <x:c r="B224" s="21" t="str">
        <x:v>DP-2026-027752</x:v>
      </x:c>
      <x:c r="C224" s="21" t="str">
        <x:v>ACH PAYMENT - Nash LLC - DP-2026-027752</x:v>
      </x:c>
      <x:c r="D224" s="21" t="str">
        <x:v>Supplier payment</x:v>
      </x:c>
      <x:c r="E224" s="18" t="n">
        <x:v>1277.19</x:v>
      </x:c>
      <x:c r="F224" s="18"/>
      <x:c r="G224" s="18" t="n">
        <x:v>-1277.19</x:v>
      </x:c>
      <x:c r="H224" s="18" t="n">
        <x:f>H223+G224</x:f>
        <x:v>9551073.190000007</x:v>
      </x:c>
    </x:row>
    <x:row r="225">
      <x:c r="A225" s="20" t="n">
        <x:v>46175</x:v>
      </x:c>
      <x:c r="B225" s="21" t="str">
        <x:v>DP-2026-027756</x:v>
      </x:c>
      <x:c r="C225" s="21" t="str">
        <x:v>ACH PAYMENT - Simmons, Tucker and Huang - DP-2026-027756</x:v>
      </x:c>
      <x:c r="D225" s="21" t="str">
        <x:v>Supplier payment</x:v>
      </x:c>
      <x:c r="E225" s="18" t="n">
        <x:v>586.91</x:v>
      </x:c>
      <x:c r="F225" s="18"/>
      <x:c r="G225" s="18" t="n">
        <x:v>-586.91</x:v>
      </x:c>
      <x:c r="H225" s="18" t="n">
        <x:f>H224+G225</x:f>
        <x:v>9550486.280000007</x:v>
      </x:c>
    </x:row>
    <x:row r="226">
      <x:c r="A226" s="20" t="n">
        <x:v>46175</x:v>
      </x:c>
      <x:c r="B226" s="21" t="str">
        <x:v>DP-2026-027769</x:v>
      </x:c>
      <x:c r="C226" s="21" t="str">
        <x:v>ACH PAYMENT - Brown-Owens - DP-2026-027769</x:v>
      </x:c>
      <x:c r="D226" s="21" t="str">
        <x:v>Supplier payment</x:v>
      </x:c>
      <x:c r="E226" s="18" t="n">
        <x:v>41.52</x:v>
      </x:c>
      <x:c r="F226" s="18"/>
      <x:c r="G226" s="18" t="n">
        <x:v>-41.52</x:v>
      </x:c>
      <x:c r="H226" s="18" t="n">
        <x:f>H225+G226</x:f>
        <x:v>9550444.760000007</x:v>
      </x:c>
    </x:row>
    <x:row r="227">
      <x:c r="A227" s="20" t="n">
        <x:v>46175</x:v>
      </x:c>
      <x:c r="B227" s="21" t="str">
        <x:v>DP-2026-027772</x:v>
      </x:c>
      <x:c r="C227" s="21" t="str">
        <x:v>ACH PAYMENT - Goodwin, Walker and Scott - DP-2026-027772</x:v>
      </x:c>
      <x:c r="D227" s="21" t="str">
        <x:v>Supplier payment</x:v>
      </x:c>
      <x:c r="E227" s="18" t="n">
        <x:v>300.4</x:v>
      </x:c>
      <x:c r="F227" s="18"/>
      <x:c r="G227" s="18" t="n">
        <x:v>-300.4</x:v>
      </x:c>
      <x:c r="H227" s="18" t="n">
        <x:f>H226+G227</x:f>
        <x:v>9550144.360000007</x:v>
      </x:c>
    </x:row>
    <x:row r="228">
      <x:c r="A228" s="20" t="n">
        <x:v>46175</x:v>
      </x:c>
      <x:c r="B228" s="21" t="str">
        <x:v>DP-2026-027793</x:v>
      </x:c>
      <x:c r="C228" s="21" t="str">
        <x:v>ACH PAYMENT - Anderson-Lara - DP-2026-027793</x:v>
      </x:c>
      <x:c r="D228" s="21" t="str">
        <x:v>Supplier payment</x:v>
      </x:c>
      <x:c r="E228" s="18" t="n">
        <x:v>495.01</x:v>
      </x:c>
      <x:c r="F228" s="18"/>
      <x:c r="G228" s="18" t="n">
        <x:v>-495.01</x:v>
      </x:c>
      <x:c r="H228" s="18" t="n">
        <x:f>H227+G228</x:f>
        <x:v>9549649.350000007</x:v>
      </x:c>
    </x:row>
    <x:row r="229">
      <x:c r="A229" s="20" t="n">
        <x:v>46175</x:v>
      </x:c>
      <x:c r="B229" s="21" t="str">
        <x:v>DP-2026-027797</x:v>
      </x:c>
      <x:c r="C229" s="21" t="str">
        <x:v>ACH PAYMENT - Hale-Hart - DP-2026-027797</x:v>
      </x:c>
      <x:c r="D229" s="21" t="str">
        <x:v>Supplier payment</x:v>
      </x:c>
      <x:c r="E229" s="18" t="n">
        <x:v>444.38</x:v>
      </x:c>
      <x:c r="F229" s="18"/>
      <x:c r="G229" s="18" t="n">
        <x:v>-444.38</x:v>
      </x:c>
      <x:c r="H229" s="18" t="n">
        <x:f>H228+G229</x:f>
        <x:v>9549204.970000006</x:v>
      </x:c>
    </x:row>
    <x:row r="230">
      <x:c r="A230" s="20" t="n">
        <x:v>46175</x:v>
      </x:c>
      <x:c r="B230" s="21" t="str">
        <x:v>DP-2026-027855</x:v>
      </x:c>
      <x:c r="C230" s="21" t="str">
        <x:v>WIRE TRANSFER PAYMENT - Hester Ltd - DP-2026-027855</x:v>
      </x:c>
      <x:c r="D230" s="21" t="str">
        <x:v>Supplier payment</x:v>
      </x:c>
      <x:c r="E230" s="18" t="n">
        <x:v>747.7</x:v>
      </x:c>
      <x:c r="F230" s="18"/>
      <x:c r="G230" s="18" t="n">
        <x:v>-747.7</x:v>
      </x:c>
      <x:c r="H230" s="18" t="n">
        <x:f>H229+G230</x:f>
        <x:v>9548457.270000007</x:v>
      </x:c>
    </x:row>
    <x:row r="231">
      <x:c r="A231" s="20" t="n">
        <x:v>46175</x:v>
      </x:c>
      <x:c r="B231" s="21" t="str">
        <x:v>DP-2026-027886</x:v>
      </x:c>
      <x:c r="C231" s="21" t="str">
        <x:v>ACH PAYMENT - Kelly-Bradshaw - DP-2026-027886</x:v>
      </x:c>
      <x:c r="D231" s="21" t="str">
        <x:v>Supplier payment</x:v>
      </x:c>
      <x:c r="E231" s="18" t="n">
        <x:v>171.09</x:v>
      </x:c>
      <x:c r="F231" s="18"/>
      <x:c r="G231" s="18" t="n">
        <x:v>-171.09</x:v>
      </x:c>
      <x:c r="H231" s="18" t="n">
        <x:f>H230+G231</x:f>
        <x:v>9548286.180000007</x:v>
      </x:c>
    </x:row>
    <x:row r="232">
      <x:c r="A232" s="20" t="n">
        <x:v>46175</x:v>
      </x:c>
      <x:c r="B232" s="21" t="str">
        <x:v>DP-2026-027943</x:v>
      </x:c>
      <x:c r="C232" s="21" t="str">
        <x:v>WIRE TRANSFER PAYMENT - Lindsey and Sons - DP-2026-027943</x:v>
      </x:c>
      <x:c r="D232" s="21" t="str">
        <x:v>Supplier payment</x:v>
      </x:c>
      <x:c r="E232" s="18" t="n">
        <x:v>326.57</x:v>
      </x:c>
      <x:c r="F232" s="18"/>
      <x:c r="G232" s="18" t="n">
        <x:v>-326.57</x:v>
      </x:c>
      <x:c r="H232" s="18" t="n">
        <x:f>H231+G232</x:f>
        <x:v>9547959.610000007</x:v>
      </x:c>
    </x:row>
    <x:row r="233">
      <x:c r="A233" s="20" t="n">
        <x:v>46175</x:v>
      </x:c>
      <x:c r="B233" s="21" t="str">
        <x:v>JE-2026-000106</x:v>
      </x:c>
      <x:c r="C233" s="21" t="str">
        <x:v>INTEREST PAYMENT FOR ASSEMBLY AUTOMATION CELL ADDITION</x:v>
      </x:c>
      <x:c r="D233" s="21" t="str">
        <x:v>Journal entry</x:v>
      </x:c>
      <x:c r="E233" s="18" t="n">
        <x:v>1164.2</x:v>
      </x:c>
      <x:c r="F233" s="18"/>
      <x:c r="G233" s="18" t="n">
        <x:v>-1164.2</x:v>
      </x:c>
      <x:c r="H233" s="18" t="n">
        <x:f>H232+G233</x:f>
        <x:v>9546795.410000008</x:v>
      </x:c>
    </x:row>
    <x:row r="234">
      <x:c r="A234" s="20" t="n">
        <x:v>46175</x:v>
      </x:c>
      <x:c r="B234" s="21" t="str">
        <x:v>JE-2026-000107</x:v>
      </x:c>
      <x:c r="C234" s="21" t="str">
        <x:v>PRINCIPAL PAYMENT FOR FINISHING BOOTH UPGRADE AND AIR HANDLING RETROFIT</x:v>
      </x:c>
      <x:c r="D234" s="21" t="str">
        <x:v>Journal entry</x:v>
      </x:c>
      <x:c r="E234" s="18" t="n">
        <x:v>4057.5</x:v>
      </x:c>
      <x:c r="F234" s="18"/>
      <x:c r="G234" s="18" t="n">
        <x:v>-4057.5</x:v>
      </x:c>
      <x:c r="H234" s="18" t="n">
        <x:f>H233+G234</x:f>
        <x:v>9542737.910000008</x:v>
      </x:c>
    </x:row>
    <x:row r="235">
      <x:c r="A235" s="20" t="n">
        <x:v>46175</x:v>
      </x:c>
      <x:c r="B235" s="21" t="str">
        <x:v>JE-2026-000110</x:v>
      </x:c>
      <x:c r="C235" s="21" t="str">
        <x:v>WAREHOUSE RENT FOR 2026-06</x:v>
      </x:c>
      <x:c r="D235" s="21" t="str">
        <x:v>Journal entry</x:v>
      </x:c>
      <x:c r="E235" s="18" t="n">
        <x:v>24151.43</x:v>
      </x:c>
      <x:c r="F235" s="18"/>
      <x:c r="G235" s="18" t="n">
        <x:v>-24151.43</x:v>
      </x:c>
      <x:c r="H235" s="18" t="n">
        <x:f>H234+G235</x:f>
        <x:v>9518586.480000008</x:v>
      </x:c>
    </x:row>
    <x:row r="236">
      <x:c r="A236" s="20" t="n">
        <x:v>46175</x:v>
      </x:c>
      <x:c r="B236" s="21" t="str">
        <x:v>PLR-2026-000063</x:v>
      </x:c>
      <x:c r="C236" s="21" t="str">
        <x:v>PAYROLL REMITTANCE - Payroll Tax Agencies</x:v>
      </x:c>
      <x:c r="D236" s="21" t="str">
        <x:v>Payroll remittance</x:v>
      </x:c>
      <x:c r="E236" s="18" t="n">
        <x:v>17137.93</x:v>
      </x:c>
      <x:c r="F236" s="18"/>
      <x:c r="G236" s="18" t="n">
        <x:v>-17137.93</x:v>
      </x:c>
      <x:c r="H236" s="18" t="n">
        <x:f>H235+G236</x:f>
        <x:v>9501448.550000008</x:v>
      </x:c>
    </x:row>
    <x:row r="237">
      <x:c r="A237" s="20" t="n">
        <x:v>46176</x:v>
      </x:c>
      <x:c r="B237" s="21" t="str">
        <x:v>AR00005984</x:v>
      </x:c>
      <x:c r="C237" s="21" t="str">
        <x:v>CUSTOMER DEPOSIT - Young, Baker and Wilson - CR-2026-005984</x:v>
      </x:c>
      <x:c r="D237" s="21" t="str">
        <x:v>Customer deposit</x:v>
      </x:c>
      <x:c r="E237" s="18"/>
      <x:c r="F237" s="18" t="n">
        <x:v>2169.52</x:v>
      </x:c>
      <x:c r="G237" s="18" t="n">
        <x:v>2169.52</x:v>
      </x:c>
      <x:c r="H237" s="18" t="n">
        <x:f>H236+G237</x:f>
        <x:v>9503618.070000008</x:v>
      </x:c>
    </x:row>
    <x:row r="238">
      <x:c r="A238" s="20" t="n">
        <x:v>46176</x:v>
      </x:c>
      <x:c r="B238" s="21" t="str">
        <x:v>AR00006126</x:v>
      </x:c>
      <x:c r="C238" s="21" t="str">
        <x:v>CUSTOMER DEPOSIT - Kelly LLC - CR-2026-006126</x:v>
      </x:c>
      <x:c r="D238" s="21" t="str">
        <x:v>Customer deposit</x:v>
      </x:c>
      <x:c r="E238" s="18"/>
      <x:c r="F238" s="18" t="n">
        <x:v>0.54</x:v>
      </x:c>
      <x:c r="G238" s="18" t="n">
        <x:v>0.54</x:v>
      </x:c>
      <x:c r="H238" s="18" t="n">
        <x:f>H237+G238</x:f>
        <x:v>9503618.610000007</x:v>
      </x:c>
    </x:row>
    <x:row r="239">
      <x:c r="A239" s="20" t="n">
        <x:v>46176</x:v>
      </x:c>
      <x:c r="B239" s="21" t="str">
        <x:v>CHK0025585</x:v>
      </x:c>
      <x:c r="C239" s="21" t="str">
        <x:v>CHECK PAYMENT - Dennis PLC - DP-2026-025585</x:v>
      </x:c>
      <x:c r="D239" s="21" t="str">
        <x:v>Supplier payment</x:v>
      </x:c>
      <x:c r="E239" s="18" t="n">
        <x:v>91.44</x:v>
      </x:c>
      <x:c r="F239" s="18"/>
      <x:c r="G239" s="18" t="n">
        <x:v>-91.44</x:v>
      </x:c>
      <x:c r="H239" s="18" t="n">
        <x:f>H238+G239</x:f>
        <x:v>9503527.170000007</x:v>
      </x:c>
    </x:row>
    <x:row r="240">
      <x:c r="A240" s="20" t="n">
        <x:v>46176</x:v>
      </x:c>
      <x:c r="B240" s="21" t="str">
        <x:v>CHK0026874</x:v>
      </x:c>
      <x:c r="C240" s="21" t="str">
        <x:v>CHECK PAYMENT - Williams, Baker and Santos - DP-2026-026874</x:v>
      </x:c>
      <x:c r="D240" s="21" t="str">
        <x:v>Supplier payment</x:v>
      </x:c>
      <x:c r="E240" s="18" t="n">
        <x:v>31.32</x:v>
      </x:c>
      <x:c r="F240" s="18"/>
      <x:c r="G240" s="18" t="n">
        <x:v>-31.32</x:v>
      </x:c>
      <x:c r="H240" s="18" t="n">
        <x:f>H239+G240</x:f>
        <x:v>9503495.850000007</x:v>
      </x:c>
    </x:row>
    <x:row r="241">
      <x:c r="A241" s="20" t="n">
        <x:v>46176</x:v>
      </x:c>
      <x:c r="B241" s="21" t="str">
        <x:v>CHK0026907</x:v>
      </x:c>
      <x:c r="C241" s="21" t="str">
        <x:v>CHECK PAYMENT - Lindsey and Sons - DP-2026-026907</x:v>
      </x:c>
      <x:c r="D241" s="21" t="str">
        <x:v>Supplier payment</x:v>
      </x:c>
      <x:c r="E241" s="18" t="n">
        <x:v>980.5</x:v>
      </x:c>
      <x:c r="F241" s="18"/>
      <x:c r="G241" s="18" t="n">
        <x:v>-980.5</x:v>
      </x:c>
      <x:c r="H241" s="18" t="n">
        <x:f>H240+G241</x:f>
        <x:v>9502515.350000007</x:v>
      </x:c>
    </x:row>
    <x:row r="242">
      <x:c r="A242" s="20" t="n">
        <x:v>46176</x:v>
      </x:c>
      <x:c r="B242" s="21" t="str">
        <x:v>CHK0026981</x:v>
      </x:c>
      <x:c r="C242" s="21" t="str">
        <x:v>CHECK PAYMENT - Peters, Terry and Zimmerman - DP-2026-026981</x:v>
      </x:c>
      <x:c r="D242" s="21" t="str">
        <x:v>Supplier payment</x:v>
      </x:c>
      <x:c r="E242" s="18" t="n">
        <x:v>991.84</x:v>
      </x:c>
      <x:c r="F242" s="18"/>
      <x:c r="G242" s="18" t="n">
        <x:v>-991.84</x:v>
      </x:c>
      <x:c r="H242" s="18" t="n">
        <x:f>H241+G242</x:f>
        <x:v>9501523.510000007</x:v>
      </x:c>
    </x:row>
    <x:row r="243">
      <x:c r="A243" s="20" t="n">
        <x:v>46176</x:v>
      </x:c>
      <x:c r="B243" s="21" t="str">
        <x:v>CHK0027041</x:v>
      </x:c>
      <x:c r="C243" s="21" t="str">
        <x:v>CHECK PAYMENT - Colon LLC - DP-2026-027041</x:v>
      </x:c>
      <x:c r="D243" s="21" t="str">
        <x:v>Supplier payment</x:v>
      </x:c>
      <x:c r="E243" s="18" t="n">
        <x:v>1636</x:v>
      </x:c>
      <x:c r="F243" s="18"/>
      <x:c r="G243" s="18" t="n">
        <x:v>-1636</x:v>
      </x:c>
      <x:c r="H243" s="18" t="n">
        <x:f>H242+G243</x:f>
        <x:v>9499887.510000007</x:v>
      </x:c>
    </x:row>
    <x:row r="244">
      <x:c r="A244" s="20" t="n">
        <x:v>46176</x:v>
      </x:c>
      <x:c r="B244" s="21" t="str">
        <x:v>CHK0027044</x:v>
      </x:c>
      <x:c r="C244" s="21" t="str">
        <x:v>CHECK PAYMENT - Lucas, Green and Richardson - DP-2026-027044</x:v>
      </x:c>
      <x:c r="D244" s="21" t="str">
        <x:v>Supplier payment</x:v>
      </x:c>
      <x:c r="E244" s="18" t="n">
        <x:v>367.23</x:v>
      </x:c>
      <x:c r="F244" s="18"/>
      <x:c r="G244" s="18" t="n">
        <x:v>-367.23</x:v>
      </x:c>
      <x:c r="H244" s="18" t="n">
        <x:f>H243+G244</x:f>
        <x:v>9499520.280000007</x:v>
      </x:c>
    </x:row>
    <x:row r="245">
      <x:c r="A245" s="20" t="n">
        <x:v>46176</x:v>
      </x:c>
      <x:c r="B245" s="21" t="str">
        <x:v>CHK0027089</x:v>
      </x:c>
      <x:c r="C245" s="21" t="str">
        <x:v>CHECK PAYMENT - Lindsey and Sons - DP-2026-027089</x:v>
      </x:c>
      <x:c r="D245" s="21" t="str">
        <x:v>Supplier payment</x:v>
      </x:c>
      <x:c r="E245" s="18" t="n">
        <x:v>466.38</x:v>
      </x:c>
      <x:c r="F245" s="18"/>
      <x:c r="G245" s="18" t="n">
        <x:v>-466.38</x:v>
      </x:c>
      <x:c r="H245" s="18" t="n">
        <x:f>H244+G245</x:f>
        <x:v>9499053.900000006</x:v>
      </x:c>
    </x:row>
    <x:row r="246">
      <x:c r="A246" s="20" t="n">
        <x:v>46176</x:v>
      </x:c>
      <x:c r="B246" s="21" t="str">
        <x:v>CHK0027265</x:v>
      </x:c>
      <x:c r="C246" s="21" t="str">
        <x:v>CHECK PAYMENT - Smith-Ray - DP-2026-027265</x:v>
      </x:c>
      <x:c r="D246" s="21" t="str">
        <x:v>Supplier payment</x:v>
      </x:c>
      <x:c r="E246" s="18" t="n">
        <x:v>1156.74</x:v>
      </x:c>
      <x:c r="F246" s="18"/>
      <x:c r="G246" s="18" t="n">
        <x:v>-1156.74</x:v>
      </x:c>
      <x:c r="H246" s="18" t="n">
        <x:f>H245+G246</x:f>
        <x:v>9497897.160000006</x:v>
      </x:c>
    </x:row>
    <x:row r="247">
      <x:c r="A247" s="20" t="n">
        <x:v>46176</x:v>
      </x:c>
      <x:c r="B247" s="21" t="str">
        <x:v>CHK0027268</x:v>
      </x:c>
      <x:c r="C247" s="21" t="str">
        <x:v>CHECK PAYMENT - Brooks, Johnson and Olson - DP-2026-027268</x:v>
      </x:c>
      <x:c r="D247" s="21" t="str">
        <x:v>Supplier payment</x:v>
      </x:c>
      <x:c r="E247" s="18" t="n">
        <x:v>328.62</x:v>
      </x:c>
      <x:c r="F247" s="18"/>
      <x:c r="G247" s="18" t="n">
        <x:v>-328.62</x:v>
      </x:c>
      <x:c r="H247" s="18" t="n">
        <x:f>H246+G247</x:f>
        <x:v>9497568.540000007</x:v>
      </x:c>
    </x:row>
    <x:row r="248">
      <x:c r="A248" s="20" t="n">
        <x:v>46176</x:v>
      </x:c>
      <x:c r="B248" s="21" t="str">
        <x:v>CHK0027283</x:v>
      </x:c>
      <x:c r="C248" s="21" t="str">
        <x:v>CHECK PAYMENT - Garcia Group - DP-2026-027283</x:v>
      </x:c>
      <x:c r="D248" s="21" t="str">
        <x:v>Supplier payment</x:v>
      </x:c>
      <x:c r="E248" s="18" t="n">
        <x:v>4516.77</x:v>
      </x:c>
      <x:c r="F248" s="18"/>
      <x:c r="G248" s="18" t="n">
        <x:v>-4516.77</x:v>
      </x:c>
      <x:c r="H248" s="18" t="n">
        <x:f>H247+G248</x:f>
        <x:v>9493051.770000007</x:v>
      </x:c>
    </x:row>
    <x:row r="249">
      <x:c r="A249" s="20" t="n">
        <x:v>46176</x:v>
      </x:c>
      <x:c r="B249" s="21" t="str">
        <x:v>CHK0027286</x:v>
      </x:c>
      <x:c r="C249" s="21" t="str">
        <x:v>CHECK PAYMENT - Hernandez PLC - DP-2026-027286</x:v>
      </x:c>
      <x:c r="D249" s="21" t="str">
        <x:v>Supplier payment</x:v>
      </x:c>
      <x:c r="E249" s="18" t="n">
        <x:v>805.64</x:v>
      </x:c>
      <x:c r="F249" s="18"/>
      <x:c r="G249" s="18" t="n">
        <x:v>-805.64</x:v>
      </x:c>
      <x:c r="H249" s="18" t="n">
        <x:f>H248+G249</x:f>
        <x:v>9492246.130000006</x:v>
      </x:c>
    </x:row>
    <x:row r="250">
      <x:c r="A250" s="20" t="n">
        <x:v>46176</x:v>
      </x:c>
      <x:c r="B250" s="21" t="str">
        <x:v>CHK0027301</x:v>
      </x:c>
      <x:c r="C250" s="21" t="str">
        <x:v>CHECK PAYMENT - Powers-Daniels - DP-2026-027301</x:v>
      </x:c>
      <x:c r="D250" s="21" t="str">
        <x:v>Supplier payment</x:v>
      </x:c>
      <x:c r="E250" s="18" t="n">
        <x:v>306.89</x:v>
      </x:c>
      <x:c r="F250" s="18"/>
      <x:c r="G250" s="18" t="n">
        <x:v>-306.89</x:v>
      </x:c>
      <x:c r="H250" s="18" t="n">
        <x:f>H249+G250</x:f>
        <x:v>9491939.240000006</x:v>
      </x:c>
    </x:row>
    <x:row r="251">
      <x:c r="A251" s="20" t="n">
        <x:v>46176</x:v>
      </x:c>
      <x:c r="B251" s="21" t="str">
        <x:v>CHK0027303</x:v>
      </x:c>
      <x:c r="C251" s="21" t="str">
        <x:v>CHECK PAYMENT - Keith PLC - DP-2026-027303</x:v>
      </x:c>
      <x:c r="D251" s="21" t="str">
        <x:v>Supplier payment</x:v>
      </x:c>
      <x:c r="E251" s="18" t="n">
        <x:v>770.1</x:v>
      </x:c>
      <x:c r="F251" s="18"/>
      <x:c r="G251" s="18" t="n">
        <x:v>-770.1</x:v>
      </x:c>
      <x:c r="H251" s="18" t="n">
        <x:f>H250+G251</x:f>
        <x:v>9491169.140000006</x:v>
      </x:c>
    </x:row>
    <x:row r="252">
      <x:c r="A252" s="20" t="n">
        <x:v>46176</x:v>
      </x:c>
      <x:c r="B252" s="21" t="str">
        <x:v>CHK0027314</x:v>
      </x:c>
      <x:c r="C252" s="21" t="str">
        <x:v>CHECK PAYMENT - Kelly-Bradshaw - DP-2026-027314</x:v>
      </x:c>
      <x:c r="D252" s="21" t="str">
        <x:v>Supplier payment</x:v>
      </x:c>
      <x:c r="E252" s="18" t="n">
        <x:v>814.22</x:v>
      </x:c>
      <x:c r="F252" s="18"/>
      <x:c r="G252" s="18" t="n">
        <x:v>-814.22</x:v>
      </x:c>
      <x:c r="H252" s="18" t="n">
        <x:f>H251+G252</x:f>
        <x:v>9490354.920000006</x:v>
      </x:c>
    </x:row>
    <x:row r="253">
      <x:c r="A253" s="20" t="n">
        <x:v>46176</x:v>
      </x:c>
      <x:c r="B253" s="21" t="str">
        <x:v>CHK0027336</x:v>
      </x:c>
      <x:c r="C253" s="21" t="str">
        <x:v>CHECK PAYMENT - Duncan-Dawson - DP-2026-027336</x:v>
      </x:c>
      <x:c r="D253" s="21" t="str">
        <x:v>Supplier payment</x:v>
      </x:c>
      <x:c r="E253" s="18" t="n">
        <x:v>798.99</x:v>
      </x:c>
      <x:c r="F253" s="18"/>
      <x:c r="G253" s="18" t="n">
        <x:v>-798.99</x:v>
      </x:c>
      <x:c r="H253" s="18" t="n">
        <x:f>H252+G253</x:f>
        <x:v>9489555.930000005</x:v>
      </x:c>
    </x:row>
    <x:row r="254">
      <x:c r="A254" s="20" t="n">
        <x:v>46176</x:v>
      </x:c>
      <x:c r="B254" s="21" t="str">
        <x:v>CHK0027383</x:v>
      </x:c>
      <x:c r="C254" s="21" t="str">
        <x:v>CHECK PAYMENT - Sweeney PLC - DP-2026-027383</x:v>
      </x:c>
      <x:c r="D254" s="21" t="str">
        <x:v>Supplier payment</x:v>
      </x:c>
      <x:c r="E254" s="18" t="n">
        <x:v>593.22</x:v>
      </x:c>
      <x:c r="F254" s="18"/>
      <x:c r="G254" s="18" t="n">
        <x:v>-593.22</x:v>
      </x:c>
      <x:c r="H254" s="18" t="n">
        <x:f>H253+G254</x:f>
        <x:v>9488962.710000005</x:v>
      </x:c>
    </x:row>
    <x:row r="255">
      <x:c r="A255" s="20" t="n">
        <x:v>46176</x:v>
      </x:c>
      <x:c r="B255" s="21" t="str">
        <x:v>CHK0027400</x:v>
      </x:c>
      <x:c r="C255" s="21" t="str">
        <x:v>CHECK PAYMENT - Berger, Stanley and Cooper - DP-2026-027400</x:v>
      </x:c>
      <x:c r="D255" s="21" t="str">
        <x:v>Supplier payment</x:v>
      </x:c>
      <x:c r="E255" s="18" t="n">
        <x:v>768.44</x:v>
      </x:c>
      <x:c r="F255" s="18"/>
      <x:c r="G255" s="18" t="n">
        <x:v>-768.44</x:v>
      </x:c>
      <x:c r="H255" s="18" t="n">
        <x:f>H254+G255</x:f>
        <x:v>9488194.270000005</x:v>
      </x:c>
    </x:row>
    <x:row r="256">
      <x:c r="A256" s="20" t="n">
        <x:v>46176</x:v>
      </x:c>
      <x:c r="B256" s="21" t="str">
        <x:v>CHK0027404</x:v>
      </x:c>
      <x:c r="C256" s="21" t="str">
        <x:v>CHECK PAYMENT - Green and Sons - DP-2026-027404</x:v>
      </x:c>
      <x:c r="D256" s="21" t="str">
        <x:v>Supplier payment</x:v>
      </x:c>
      <x:c r="E256" s="18" t="n">
        <x:v>547.89</x:v>
      </x:c>
      <x:c r="F256" s="18"/>
      <x:c r="G256" s="18" t="n">
        <x:v>-547.89</x:v>
      </x:c>
      <x:c r="H256" s="18" t="n">
        <x:f>H255+G256</x:f>
        <x:v>9487646.380000005</x:v>
      </x:c>
    </x:row>
    <x:row r="257">
      <x:c r="A257" s="20" t="n">
        <x:v>46176</x:v>
      </x:c>
      <x:c r="B257" s="21" t="str">
        <x:v>CHK0027418</x:v>
      </x:c>
      <x:c r="C257" s="21" t="str">
        <x:v>CHECK PAYMENT - Brooks, Johnson and Olson - DP-2026-027418</x:v>
      </x:c>
      <x:c r="D257" s="21" t="str">
        <x:v>Supplier payment</x:v>
      </x:c>
      <x:c r="E257" s="18" t="n">
        <x:v>771.13</x:v>
      </x:c>
      <x:c r="F257" s="18"/>
      <x:c r="G257" s="18" t="n">
        <x:v>-771.13</x:v>
      </x:c>
      <x:c r="H257" s="18" t="n">
        <x:f>H256+G257</x:f>
        <x:v>9486875.250000004</x:v>
      </x:c>
    </x:row>
    <x:row r="258">
      <x:c r="A258" s="20" t="n">
        <x:v>46176</x:v>
      </x:c>
      <x:c r="B258" s="21" t="str">
        <x:v>CHK0027426</x:v>
      </x:c>
      <x:c r="C258" s="21" t="str">
        <x:v>CHECK PAYMENT - Garcia Group - DP-2026-027426</x:v>
      </x:c>
      <x:c r="D258" s="21" t="str">
        <x:v>Supplier payment</x:v>
      </x:c>
      <x:c r="E258" s="18" t="n">
        <x:v>416.25</x:v>
      </x:c>
      <x:c r="F258" s="18"/>
      <x:c r="G258" s="18" t="n">
        <x:v>-416.25</x:v>
      </x:c>
      <x:c r="H258" s="18" t="n">
        <x:f>H257+G258</x:f>
        <x:v>9486459.000000004</x:v>
      </x:c>
    </x:row>
    <x:row r="259">
      <x:c r="A259" s="20" t="n">
        <x:v>46176</x:v>
      </x:c>
      <x:c r="B259" s="21" t="str">
        <x:v>CHK0027443</x:v>
      </x:c>
      <x:c r="C259" s="21" t="str">
        <x:v>CHECK PAYMENT - Brooks, Johnson and Olson - DP-2026-027443</x:v>
      </x:c>
      <x:c r="D259" s="21" t="str">
        <x:v>Supplier payment</x:v>
      </x:c>
      <x:c r="E259" s="18" t="n">
        <x:v>241.03</x:v>
      </x:c>
      <x:c r="F259" s="18"/>
      <x:c r="G259" s="18" t="n">
        <x:v>-241.03</x:v>
      </x:c>
      <x:c r="H259" s="18" t="n">
        <x:f>H258+G259</x:f>
        <x:v>9486217.970000004</x:v>
      </x:c>
    </x:row>
    <x:row r="260">
      <x:c r="A260" s="20" t="n">
        <x:v>46176</x:v>
      </x:c>
      <x:c r="B260" s="21" t="str">
        <x:v>CHK0027447</x:v>
      </x:c>
      <x:c r="C260" s="21" t="str">
        <x:v>CHECK PAYMENT - Boyd and Sons - DP-2026-027447</x:v>
      </x:c>
      <x:c r="D260" s="21" t="str">
        <x:v>Supplier payment</x:v>
      </x:c>
      <x:c r="E260" s="18" t="n">
        <x:v>430.72</x:v>
      </x:c>
      <x:c r="F260" s="18"/>
      <x:c r="G260" s="18" t="n">
        <x:v>-430.72</x:v>
      </x:c>
      <x:c r="H260" s="18" t="n">
        <x:f>H259+G260</x:f>
        <x:v>9485787.250000004</x:v>
      </x:c>
    </x:row>
    <x:row r="261">
      <x:c r="A261" s="20" t="n">
        <x:v>46176</x:v>
      </x:c>
      <x:c r="B261" s="21" t="str">
        <x:v>CHK0027466</x:v>
      </x:c>
      <x:c r="C261" s="21" t="str">
        <x:v>CHECK PAYMENT - Gay, Clark and Hickman - DP-2026-027466</x:v>
      </x:c>
      <x:c r="D261" s="21" t="str">
        <x:v>Supplier payment</x:v>
      </x:c>
      <x:c r="E261" s="18" t="n">
        <x:v>89.38</x:v>
      </x:c>
      <x:c r="F261" s="18"/>
      <x:c r="G261" s="18" t="n">
        <x:v>-89.38</x:v>
      </x:c>
      <x:c r="H261" s="18" t="n">
        <x:f>H260+G261</x:f>
        <x:v>9485697.870000003</x:v>
      </x:c>
    </x:row>
    <x:row r="262">
      <x:c r="A262" s="20" t="n">
        <x:v>46176</x:v>
      </x:c>
      <x:c r="B262" s="21" t="str">
        <x:v>CHK0027472</x:v>
      </x:c>
      <x:c r="C262" s="21" t="str">
        <x:v>CHECK PAYMENT - Hoffman LLC - DP-2026-027472</x:v>
      </x:c>
      <x:c r="D262" s="21" t="str">
        <x:v>Supplier payment</x:v>
      </x:c>
      <x:c r="E262" s="18" t="n">
        <x:v>385.61</x:v>
      </x:c>
      <x:c r="F262" s="18"/>
      <x:c r="G262" s="18" t="n">
        <x:v>-385.61</x:v>
      </x:c>
      <x:c r="H262" s="18" t="n">
        <x:f>H261+G262</x:f>
        <x:v>9485312.260000004</x:v>
      </x:c>
    </x:row>
    <x:row r="263">
      <x:c r="A263" s="20" t="n">
        <x:v>46176</x:v>
      </x:c>
      <x:c r="B263" s="21" t="str">
        <x:v>CHK0027477</x:v>
      </x:c>
      <x:c r="C263" s="21" t="str">
        <x:v>CHECK PAYMENT - Nguyen-Davis - DP-2026-027477</x:v>
      </x:c>
      <x:c r="D263" s="21" t="str">
        <x:v>Supplier payment</x:v>
      </x:c>
      <x:c r="E263" s="18" t="n">
        <x:v>335.49</x:v>
      </x:c>
      <x:c r="F263" s="18"/>
      <x:c r="G263" s="18" t="n">
        <x:v>-335.49</x:v>
      </x:c>
      <x:c r="H263" s="18" t="n">
        <x:f>H262+G263</x:f>
        <x:v>9484976.770000003</x:v>
      </x:c>
    </x:row>
    <x:row r="264">
      <x:c r="A264" s="20" t="n">
        <x:v>46176</x:v>
      </x:c>
      <x:c r="B264" s="21" t="str">
        <x:v>CHK0027478</x:v>
      </x:c>
      <x:c r="C264" s="21" t="str">
        <x:v>CHECK PAYMENT - Coffey, Gross and Phelps - DP-2026-027478</x:v>
      </x:c>
      <x:c r="D264" s="21" t="str">
        <x:v>Supplier payment</x:v>
      </x:c>
      <x:c r="E264" s="18" t="n">
        <x:v>25.28</x:v>
      </x:c>
      <x:c r="F264" s="18"/>
      <x:c r="G264" s="18" t="n">
        <x:v>-25.28</x:v>
      </x:c>
      <x:c r="H264" s="18" t="n">
        <x:f>H263+G264</x:f>
        <x:v>9484951.490000004</x:v>
      </x:c>
    </x:row>
    <x:row r="265">
      <x:c r="A265" s="20" t="n">
        <x:v>46176</x:v>
      </x:c>
      <x:c r="B265" s="21" t="str">
        <x:v>CHK0027479</x:v>
      </x:c>
      <x:c r="C265" s="21" t="str">
        <x:v>CHECK PAYMENT - Hoffman LLC - DP-2026-027479</x:v>
      </x:c>
      <x:c r="D265" s="21" t="str">
        <x:v>Supplier payment</x:v>
      </x:c>
      <x:c r="E265" s="18" t="n">
        <x:v>404.52</x:v>
      </x:c>
      <x:c r="F265" s="18"/>
      <x:c r="G265" s="18" t="n">
        <x:v>-404.52</x:v>
      </x:c>
      <x:c r="H265" s="18" t="n">
        <x:f>H264+G265</x:f>
        <x:v>9484546.970000004</x:v>
      </x:c>
    </x:row>
    <x:row r="266">
      <x:c r="A266" s="20" t="n">
        <x:v>46176</x:v>
      </x:c>
      <x:c r="B266" s="21" t="str">
        <x:v>CHK0027483</x:v>
      </x:c>
      <x:c r="C266" s="21" t="str">
        <x:v>CHECK PAYMENT - Brooks, Johnson and Olson - DP-2026-027483</x:v>
      </x:c>
      <x:c r="D266" s="21" t="str">
        <x:v>Supplier payment</x:v>
      </x:c>
      <x:c r="E266" s="18" t="n">
        <x:v>773.76</x:v>
      </x:c>
      <x:c r="F266" s="18"/>
      <x:c r="G266" s="18" t="n">
        <x:v>-773.76</x:v>
      </x:c>
      <x:c r="H266" s="18" t="n">
        <x:f>H265+G266</x:f>
        <x:v>9483773.210000005</x:v>
      </x:c>
    </x:row>
    <x:row r="267">
      <x:c r="A267" s="20" t="n">
        <x:v>46176</x:v>
      </x:c>
      <x:c r="B267" s="21" t="str">
        <x:v>CHK0027502</x:v>
      </x:c>
      <x:c r="C267" s="21" t="str">
        <x:v>CHECK PAYMENT - Hernandez, Melendez and Mcdowell - DP-2026-027502</x:v>
      </x:c>
      <x:c r="D267" s="21" t="str">
        <x:v>Supplier payment</x:v>
      </x:c>
      <x:c r="E267" s="18" t="n">
        <x:v>746.25</x:v>
      </x:c>
      <x:c r="F267" s="18"/>
      <x:c r="G267" s="18" t="n">
        <x:v>-746.25</x:v>
      </x:c>
      <x:c r="H267" s="18" t="n">
        <x:f>H266+G267</x:f>
        <x:v>9483026.960000005</x:v>
      </x:c>
    </x:row>
    <x:row r="268">
      <x:c r="A268" s="20" t="n">
        <x:v>46176</x:v>
      </x:c>
      <x:c r="B268" s="21" t="str">
        <x:v>CHK0027513</x:v>
      </x:c>
      <x:c r="C268" s="21" t="str">
        <x:v>CHECK PAYMENT - Hester Ltd - DP-2026-027513</x:v>
      </x:c>
      <x:c r="D268" s="21" t="str">
        <x:v>Supplier payment</x:v>
      </x:c>
      <x:c r="E268" s="18" t="n">
        <x:v>285.76</x:v>
      </x:c>
      <x:c r="F268" s="18"/>
      <x:c r="G268" s="18" t="n">
        <x:v>-285.76</x:v>
      </x:c>
      <x:c r="H268" s="18" t="n">
        <x:f>H267+G268</x:f>
        <x:v>9482741.200000005</x:v>
      </x:c>
    </x:row>
    <x:row r="269">
      <x:c r="A269" s="20" t="n">
        <x:v>46176</x:v>
      </x:c>
      <x:c r="B269" s="21" t="str">
        <x:v>CHK0027549</x:v>
      </x:c>
      <x:c r="C269" s="21" t="str">
        <x:v>CHECK PAYMENT - Velasquez-Baxter - DP-2026-027549</x:v>
      </x:c>
      <x:c r="D269" s="21" t="str">
        <x:v>Supplier payment</x:v>
      </x:c>
      <x:c r="E269" s="18" t="n">
        <x:v>90.12</x:v>
      </x:c>
      <x:c r="F269" s="18"/>
      <x:c r="G269" s="18" t="n">
        <x:v>-90.12</x:v>
      </x:c>
      <x:c r="H269" s="18" t="n">
        <x:f>H268+G269</x:f>
        <x:v>9482651.080000006</x:v>
      </x:c>
    </x:row>
    <x:row r="270">
      <x:c r="A270" s="20" t="n">
        <x:v>46176</x:v>
      </x:c>
      <x:c r="B270" s="21" t="str">
        <x:v>CHK0027558</x:v>
      </x:c>
      <x:c r="C270" s="21" t="str">
        <x:v>CHECK PAYMENT - Berger, Stanley and Cooper - DP-2026-027558</x:v>
      </x:c>
      <x:c r="D270" s="21" t="str">
        <x:v>Supplier payment</x:v>
      </x:c>
      <x:c r="E270" s="18" t="n">
        <x:v>429.1</x:v>
      </x:c>
      <x:c r="F270" s="18"/>
      <x:c r="G270" s="18" t="n">
        <x:v>-429.1</x:v>
      </x:c>
      <x:c r="H270" s="18" t="n">
        <x:f>H269+G270</x:f>
        <x:v>9482221.980000006</x:v>
      </x:c>
    </x:row>
    <x:row r="271">
      <x:c r="A271" s="20" t="n">
        <x:v>46176</x:v>
      </x:c>
      <x:c r="B271" s="21" t="str">
        <x:v>CHK0027572</x:v>
      </x:c>
      <x:c r="C271" s="21" t="str">
        <x:v>CHECK PAYMENT - Harris and Sons - DP-2026-027572</x:v>
      </x:c>
      <x:c r="D271" s="21" t="str">
        <x:v>Supplier payment</x:v>
      </x:c>
      <x:c r="E271" s="18" t="n">
        <x:v>1175.37</x:v>
      </x:c>
      <x:c r="F271" s="18"/>
      <x:c r="G271" s="18" t="n">
        <x:v>-1175.37</x:v>
      </x:c>
      <x:c r="H271" s="18" t="n">
        <x:f>H270+G271</x:f>
        <x:v>9481046.610000007</x:v>
      </x:c>
    </x:row>
    <x:row r="272">
      <x:c r="A272" s="20" t="n">
        <x:v>46176</x:v>
      </x:c>
      <x:c r="B272" s="21" t="str">
        <x:v>CHK0027596</x:v>
      </x:c>
      <x:c r="C272" s="21" t="str">
        <x:v>CHECK PAYMENT - Hoffman LLC - DP-2026-027596</x:v>
      </x:c>
      <x:c r="D272" s="21" t="str">
        <x:v>Supplier payment</x:v>
      </x:c>
      <x:c r="E272" s="18" t="n">
        <x:v>404.35</x:v>
      </x:c>
      <x:c r="F272" s="18"/>
      <x:c r="G272" s="18" t="n">
        <x:v>-404.35</x:v>
      </x:c>
      <x:c r="H272" s="18" t="n">
        <x:f>H271+G272</x:f>
        <x:v>9480642.260000007</x:v>
      </x:c>
    </x:row>
    <x:row r="273">
      <x:c r="A273" s="20" t="n">
        <x:v>46176</x:v>
      </x:c>
      <x:c r="B273" s="21" t="str">
        <x:v>CHK0027600</x:v>
      </x:c>
      <x:c r="C273" s="21" t="str">
        <x:v>CHECK PAYMENT - Collins-Johnson - DP-2026-027600</x:v>
      </x:c>
      <x:c r="D273" s="21" t="str">
        <x:v>Supplier payment</x:v>
      </x:c>
      <x:c r="E273" s="18" t="n">
        <x:v>142.79</x:v>
      </x:c>
      <x:c r="F273" s="18"/>
      <x:c r="G273" s="18" t="n">
        <x:v>-142.79</x:v>
      </x:c>
      <x:c r="H273" s="18" t="n">
        <x:f>H272+G273</x:f>
        <x:v>9480499.470000008</x:v>
      </x:c>
    </x:row>
    <x:row r="274">
      <x:c r="A274" s="20" t="n">
        <x:v>46176</x:v>
      </x:c>
      <x:c r="B274" s="21" t="str">
        <x:v>CHK0027610</x:v>
      </x:c>
      <x:c r="C274" s="21" t="str">
        <x:v>CHECK PAYMENT - Garcia Group - DP-2026-027610</x:v>
      </x:c>
      <x:c r="D274" s="21" t="str">
        <x:v>Supplier payment</x:v>
      </x:c>
      <x:c r="E274" s="18" t="n">
        <x:v>459.14</x:v>
      </x:c>
      <x:c r="F274" s="18"/>
      <x:c r="G274" s="18" t="n">
        <x:v>-459.14</x:v>
      </x:c>
      <x:c r="H274" s="18" t="n">
        <x:f>H273+G274</x:f>
        <x:v>9480040.330000008</x:v>
      </x:c>
    </x:row>
    <x:row r="275">
      <x:c r="A275" s="20" t="n">
        <x:v>46176</x:v>
      </x:c>
      <x:c r="B275" s="21" t="str">
        <x:v>CHK0027638</x:v>
      </x:c>
      <x:c r="C275" s="21" t="str">
        <x:v>CHECK PAYMENT - Gordon and Sons - DP-2026-027638</x:v>
      </x:c>
      <x:c r="D275" s="21" t="str">
        <x:v>Supplier payment</x:v>
      </x:c>
      <x:c r="E275" s="18" t="n">
        <x:v>3105.88</x:v>
      </x:c>
      <x:c r="F275" s="18"/>
      <x:c r="G275" s="18" t="n">
        <x:v>-3105.88</x:v>
      </x:c>
      <x:c r="H275" s="18" t="n">
        <x:f>H274+G275</x:f>
        <x:v>9476934.450000007</x:v>
      </x:c>
    </x:row>
    <x:row r="276">
      <x:c r="A276" s="20" t="n">
        <x:v>46176</x:v>
      </x:c>
      <x:c r="B276" s="21" t="str">
        <x:v>CHK0027656</x:v>
      </x:c>
      <x:c r="C276" s="21" t="str">
        <x:v>CHECK PAYMENT - Keith PLC - DP-2026-027656</x:v>
      </x:c>
      <x:c r="D276" s="21" t="str">
        <x:v>Supplier payment</x:v>
      </x:c>
      <x:c r="E276" s="18" t="n">
        <x:v>679.88</x:v>
      </x:c>
      <x:c r="F276" s="18"/>
      <x:c r="G276" s="18" t="n">
        <x:v>-679.88</x:v>
      </x:c>
      <x:c r="H276" s="18" t="n">
        <x:f>H275+G276</x:f>
        <x:v>9476254.570000006</x:v>
      </x:c>
    </x:row>
    <x:row r="277">
      <x:c r="A277" s="20" t="n">
        <x:v>46176</x:v>
      </x:c>
      <x:c r="B277" s="21" t="str">
        <x:v>CHK0027658</x:v>
      </x:c>
      <x:c r="C277" s="21" t="str">
        <x:v>CHECK PAYMENT - Bell, Pruitt and David - DP-2026-027658</x:v>
      </x:c>
      <x:c r="D277" s="21" t="str">
        <x:v>Supplier payment</x:v>
      </x:c>
      <x:c r="E277" s="18" t="n">
        <x:v>544.23</x:v>
      </x:c>
      <x:c r="F277" s="18"/>
      <x:c r="G277" s="18" t="n">
        <x:v>-544.23</x:v>
      </x:c>
      <x:c r="H277" s="18" t="n">
        <x:f>H276+G277</x:f>
        <x:v>9475710.340000005</x:v>
      </x:c>
    </x:row>
    <x:row r="278">
      <x:c r="A278" s="20" t="n">
        <x:v>46176</x:v>
      </x:c>
      <x:c r="B278" s="21" t="str">
        <x:v>CHK0027660</x:v>
      </x:c>
      <x:c r="C278" s="21" t="str">
        <x:v>CHECK PAYMENT - Collins-Johnson - DP-2026-027660</x:v>
      </x:c>
      <x:c r="D278" s="21" t="str">
        <x:v>Supplier payment</x:v>
      </x:c>
      <x:c r="E278" s="18" t="n">
        <x:v>17083.42</x:v>
      </x:c>
      <x:c r="F278" s="18"/>
      <x:c r="G278" s="18" t="n">
        <x:v>-17083.42</x:v>
      </x:c>
      <x:c r="H278" s="18" t="n">
        <x:f>H277+G278</x:f>
        <x:v>9458626.920000006</x:v>
      </x:c>
    </x:row>
    <x:row r="279">
      <x:c r="A279" s="20" t="n">
        <x:v>46176</x:v>
      </x:c>
      <x:c r="B279" s="21" t="str">
        <x:v>CHK0027706</x:v>
      </x:c>
      <x:c r="C279" s="21" t="str">
        <x:v>CHECK PAYMENT - Davis-Grant - DP-2026-027706</x:v>
      </x:c>
      <x:c r="D279" s="21" t="str">
        <x:v>Supplier payment</x:v>
      </x:c>
      <x:c r="E279" s="18" t="n">
        <x:v>27.97</x:v>
      </x:c>
      <x:c r="F279" s="18"/>
      <x:c r="G279" s="18" t="n">
        <x:v>-27.97</x:v>
      </x:c>
      <x:c r="H279" s="18" t="n">
        <x:f>H278+G279</x:f>
        <x:v>9458598.950000005</x:v>
      </x:c>
    </x:row>
    <x:row r="280">
      <x:c r="A280" s="20" t="n">
        <x:v>46176</x:v>
      </x:c>
      <x:c r="B280" s="21" t="str">
        <x:v>CHK0027719</x:v>
      </x:c>
      <x:c r="C280" s="21" t="str">
        <x:v>CHECK PAYMENT - Hale-Hart - DP-2026-027719</x:v>
      </x:c>
      <x:c r="D280" s="21" t="str">
        <x:v>Supplier payment</x:v>
      </x:c>
      <x:c r="E280" s="18" t="n">
        <x:v>794.91</x:v>
      </x:c>
      <x:c r="F280" s="18"/>
      <x:c r="G280" s="18" t="n">
        <x:v>-794.91</x:v>
      </x:c>
      <x:c r="H280" s="18" t="n">
        <x:f>H279+G280</x:f>
        <x:v>9457804.040000005</x:v>
      </x:c>
    </x:row>
    <x:row r="281">
      <x:c r="A281" s="20" t="n">
        <x:v>46176</x:v>
      </x:c>
      <x:c r="B281" s="21" t="str">
        <x:v>CHK0027750</x:v>
      </x:c>
      <x:c r="C281" s="21" t="str">
        <x:v>CHECK PAYMENT - Gomez PLC - DP-2026-027750</x:v>
      </x:c>
      <x:c r="D281" s="21" t="str">
        <x:v>Supplier payment</x:v>
      </x:c>
      <x:c r="E281" s="18" t="n">
        <x:v>2838.93</x:v>
      </x:c>
      <x:c r="F281" s="18"/>
      <x:c r="G281" s="18" t="n">
        <x:v>-2838.93</x:v>
      </x:c>
      <x:c r="H281" s="18" t="n">
        <x:f>H280+G281</x:f>
        <x:v>9454965.110000005</x:v>
      </x:c>
    </x:row>
    <x:row r="282">
      <x:c r="A282" s="20" t="n">
        <x:v>46176</x:v>
      </x:c>
      <x:c r="B282" s="21" t="str">
        <x:v>CHK0027779</x:v>
      </x:c>
      <x:c r="C282" s="21" t="str">
        <x:v>CHECK PAYMENT - Hernandez, Melendez and Mcdowell - DP-2026-027779</x:v>
      </x:c>
      <x:c r="D282" s="21" t="str">
        <x:v>Supplier payment</x:v>
      </x:c>
      <x:c r="E282" s="18" t="n">
        <x:v>64.71</x:v>
      </x:c>
      <x:c r="F282" s="18"/>
      <x:c r="G282" s="18" t="n">
        <x:v>-64.71</x:v>
      </x:c>
      <x:c r="H282" s="18" t="n">
        <x:f>H281+G282</x:f>
        <x:v>9454900.400000004</x:v>
      </x:c>
    </x:row>
    <x:row r="283">
      <x:c r="A283" s="20" t="n">
        <x:v>46176</x:v>
      </x:c>
      <x:c r="B283" s="21" t="str">
        <x:v>CHK0027789</x:v>
      </x:c>
      <x:c r="C283" s="21" t="str">
        <x:v>CHECK PAYMENT - Anderson-Noble - DP-2026-027789</x:v>
      </x:c>
      <x:c r="D283" s="21" t="str">
        <x:v>Supplier payment</x:v>
      </x:c>
      <x:c r="E283" s="18" t="n">
        <x:v>739.4</x:v>
      </x:c>
      <x:c r="F283" s="18"/>
      <x:c r="G283" s="18" t="n">
        <x:v>-739.4</x:v>
      </x:c>
      <x:c r="H283" s="18" t="n">
        <x:f>H282+G283</x:f>
        <x:v>9454161.000000004</x:v>
      </x:c>
    </x:row>
    <x:row r="284">
      <x:c r="A284" s="20" t="n">
        <x:v>46176</x:v>
      </x:c>
      <x:c r="B284" s="21" t="str">
        <x:v>CHK0027815</x:v>
      </x:c>
      <x:c r="C284" s="21" t="str">
        <x:v>CHECK PAYMENT - Lindsey and Sons - DP-2026-027815</x:v>
      </x:c>
      <x:c r="D284" s="21" t="str">
        <x:v>Supplier payment</x:v>
      </x:c>
      <x:c r="E284" s="18" t="n">
        <x:v>1225.51</x:v>
      </x:c>
      <x:c r="F284" s="18"/>
      <x:c r="G284" s="18" t="n">
        <x:v>-1225.51</x:v>
      </x:c>
      <x:c r="H284" s="18" t="n">
        <x:f>H283+G284</x:f>
        <x:v>9452935.490000004</x:v>
      </x:c>
    </x:row>
    <x:row r="285">
      <x:c r="A285" s="20" t="n">
        <x:v>46176</x:v>
      </x:c>
      <x:c r="B285" s="21" t="str">
        <x:v>CHK0027816</x:v>
      </x:c>
      <x:c r="C285" s="21" t="str">
        <x:v>CHECK PAYMENT - Duncan-Dawson - DP-2026-027816</x:v>
      </x:c>
      <x:c r="D285" s="21" t="str">
        <x:v>Supplier payment</x:v>
      </x:c>
      <x:c r="E285" s="18" t="n">
        <x:v>917.71</x:v>
      </x:c>
      <x:c r="F285" s="18"/>
      <x:c r="G285" s="18" t="n">
        <x:v>-917.71</x:v>
      </x:c>
      <x:c r="H285" s="18" t="n">
        <x:f>H284+G285</x:f>
        <x:v>9452017.780000003</x:v>
      </x:c>
    </x:row>
    <x:row r="286">
      <x:c r="A286" s="20" t="n">
        <x:v>46176</x:v>
      </x:c>
      <x:c r="B286" s="21" t="str">
        <x:v>CHK0027852</x:v>
      </x:c>
      <x:c r="C286" s="21" t="str">
        <x:v>CHECK PAYMENT - Salas, Gallagher and Anderson - DP-2026-027852</x:v>
      </x:c>
      <x:c r="D286" s="21" t="str">
        <x:v>Supplier payment</x:v>
      </x:c>
      <x:c r="E286" s="18" t="n">
        <x:v>127.19</x:v>
      </x:c>
      <x:c r="F286" s="18"/>
      <x:c r="G286" s="18" t="n">
        <x:v>-127.19</x:v>
      </x:c>
      <x:c r="H286" s="18" t="n">
        <x:f>H285+G286</x:f>
        <x:v>9451890.590000004</x:v>
      </x:c>
    </x:row>
    <x:row r="287">
      <x:c r="A287" s="20" t="n">
        <x:v>46176</x:v>
      </x:c>
      <x:c r="B287" s="21" t="str">
        <x:v>CHK0027865</x:v>
      </x:c>
      <x:c r="C287" s="21" t="str">
        <x:v>CHECK PAYMENT - Nguyen-Weaver - DP-2026-027865</x:v>
      </x:c>
      <x:c r="D287" s="21" t="str">
        <x:v>Supplier payment</x:v>
      </x:c>
      <x:c r="E287" s="18" t="n">
        <x:v>315.88</x:v>
      </x:c>
      <x:c r="F287" s="18"/>
      <x:c r="G287" s="18" t="n">
        <x:v>-315.88</x:v>
      </x:c>
      <x:c r="H287" s="18" t="n">
        <x:f>H286+G287</x:f>
        <x:v>9451574.710000003</x:v>
      </x:c>
    </x:row>
    <x:row r="288">
      <x:c r="A288" s="20" t="n">
        <x:v>46176</x:v>
      </x:c>
      <x:c r="B288" s="21" t="str">
        <x:v>CHK0027930</x:v>
      </x:c>
      <x:c r="C288" s="21" t="str">
        <x:v>CHECK PAYMENT - Briggs-Cummings - DP-2026-027930</x:v>
      </x:c>
      <x:c r="D288" s="21" t="str">
        <x:v>Supplier payment</x:v>
      </x:c>
      <x:c r="E288" s="18" t="n">
        <x:v>3427.68</x:v>
      </x:c>
      <x:c r="F288" s="18"/>
      <x:c r="G288" s="18" t="n">
        <x:v>-3427.68</x:v>
      </x:c>
      <x:c r="H288" s="18" t="n">
        <x:f>H287+G288</x:f>
        <x:v>9448147.030000003</x:v>
      </x:c>
    </x:row>
    <x:row r="289">
      <x:c r="A289" s="20" t="n">
        <x:v>46176</x:v>
      </x:c>
      <x:c r="B289" s="21" t="str">
        <x:v>CHK0027977</x:v>
      </x:c>
      <x:c r="C289" s="21" t="str">
        <x:v>CHECK PAYMENT - Hernandez, Melendez and Mcdowell - DP-2026-027977</x:v>
      </x:c>
      <x:c r="D289" s="21" t="str">
        <x:v>Supplier payment</x:v>
      </x:c>
      <x:c r="E289" s="18" t="n">
        <x:v>66</x:v>
      </x:c>
      <x:c r="F289" s="18"/>
      <x:c r="G289" s="18" t="n">
        <x:v>-66</x:v>
      </x:c>
      <x:c r="H289" s="18" t="n">
        <x:f>H288+G289</x:f>
        <x:v>9448081.030000003</x:v>
      </x:c>
    </x:row>
    <x:row r="290">
      <x:c r="A290" s="20" t="n">
        <x:v>46176</x:v>
      </x:c>
      <x:c r="B290" s="21" t="str">
        <x:v>DP-2026-025590</x:v>
      </x:c>
      <x:c r="C290" s="21" t="str">
        <x:v>ACH PAYMENT - Whitaker-Edwards - DP-2026-025590</x:v>
      </x:c>
      <x:c r="D290" s="21" t="str">
        <x:v>Supplier payment</x:v>
      </x:c>
      <x:c r="E290" s="18" t="n">
        <x:v>578.14</x:v>
      </x:c>
      <x:c r="F290" s="18"/>
      <x:c r="G290" s="18" t="n">
        <x:v>-578.14</x:v>
      </x:c>
      <x:c r="H290" s="18" t="n">
        <x:f>H289+G290</x:f>
        <x:v>9447502.890000002</x:v>
      </x:c>
    </x:row>
    <x:row r="291">
      <x:c r="A291" s="20" t="n">
        <x:v>46176</x:v>
      </x:c>
      <x:c r="B291" s="21" t="str">
        <x:v>DP-2026-025591</x:v>
      </x:c>
      <x:c r="C291" s="21" t="str">
        <x:v>ACH PAYMENT - Hernandez, Melendez and Mcdowell - DP-2026-025591</x:v>
      </x:c>
      <x:c r="D291" s="21" t="str">
        <x:v>Supplier payment</x:v>
      </x:c>
      <x:c r="E291" s="18" t="n">
        <x:v>277.4</x:v>
      </x:c>
      <x:c r="F291" s="18"/>
      <x:c r="G291" s="18" t="n">
        <x:v>-277.4</x:v>
      </x:c>
      <x:c r="H291" s="18" t="n">
        <x:f>H290+G291</x:f>
        <x:v>9447225.490000002</x:v>
      </x:c>
    </x:row>
    <x:row r="292">
      <x:c r="A292" s="20" t="n">
        <x:v>46176</x:v>
      </x:c>
      <x:c r="B292" s="21" t="str">
        <x:v>DP-2026-026822</x:v>
      </x:c>
      <x:c r="C292" s="21" t="str">
        <x:v>ACH PAYMENT - Bell, Pruitt and David - DP-2026-026822</x:v>
      </x:c>
      <x:c r="D292" s="21" t="str">
        <x:v>Supplier payment</x:v>
      </x:c>
      <x:c r="E292" s="18" t="n">
        <x:v>262.46</x:v>
      </x:c>
      <x:c r="F292" s="18"/>
      <x:c r="G292" s="18" t="n">
        <x:v>-262.46</x:v>
      </x:c>
      <x:c r="H292" s="18" t="n">
        <x:f>H291+G292</x:f>
        <x:v>9446963.030000001</x:v>
      </x:c>
    </x:row>
    <x:row r="293">
      <x:c r="A293" s="20" t="n">
        <x:v>46176</x:v>
      </x:c>
      <x:c r="B293" s="21" t="str">
        <x:v>DP-2026-026847</x:v>
      </x:c>
      <x:c r="C293" s="21" t="str">
        <x:v>ACH PAYMENT - Munoz, Garcia and Olsen - DP-2026-026847</x:v>
      </x:c>
      <x:c r="D293" s="21" t="str">
        <x:v>Supplier payment</x:v>
      </x:c>
      <x:c r="E293" s="18" t="n">
        <x:v>50.71</x:v>
      </x:c>
      <x:c r="F293" s="18"/>
      <x:c r="G293" s="18" t="n">
        <x:v>-50.71</x:v>
      </x:c>
      <x:c r="H293" s="18" t="n">
        <x:f>H292+G293</x:f>
        <x:v>9446912.32</x:v>
      </x:c>
    </x:row>
    <x:row r="294">
      <x:c r="A294" s="20" t="n">
        <x:v>46176</x:v>
      </x:c>
      <x:c r="B294" s="21" t="str">
        <x:v>DP-2026-026883</x:v>
      </x:c>
      <x:c r="C294" s="21" t="str">
        <x:v>ACH PAYMENT - Peters, Terry and Zimmerman - DP-2026-026883</x:v>
      </x:c>
      <x:c r="D294" s="21" t="str">
        <x:v>Supplier payment</x:v>
      </x:c>
      <x:c r="E294" s="18" t="n">
        <x:v>1019.91</x:v>
      </x:c>
      <x:c r="F294" s="18"/>
      <x:c r="G294" s="18" t="n">
        <x:v>-1019.91</x:v>
      </x:c>
      <x:c r="H294" s="18" t="n">
        <x:f>H293+G294</x:f>
        <x:v>9445892.41</x:v>
      </x:c>
    </x:row>
    <x:row r="295">
      <x:c r="A295" s="20" t="n">
        <x:v>46176</x:v>
      </x:c>
      <x:c r="B295" s="21" t="str">
        <x:v>DP-2026-026891</x:v>
      </x:c>
      <x:c r="C295" s="21" t="str">
        <x:v>ACH PAYMENT - Martinez, Green and Gentry - DP-2026-026891</x:v>
      </x:c>
      <x:c r="D295" s="21" t="str">
        <x:v>Supplier payment</x:v>
      </x:c>
      <x:c r="E295" s="18" t="n">
        <x:v>677.3</x:v>
      </x:c>
      <x:c r="F295" s="18"/>
      <x:c r="G295" s="18" t="n">
        <x:v>-677.3</x:v>
      </x:c>
      <x:c r="H295" s="18" t="n">
        <x:f>H294+G295</x:f>
        <x:v>9445215.11</x:v>
      </x:c>
    </x:row>
    <x:row r="296">
      <x:c r="A296" s="20" t="n">
        <x:v>46176</x:v>
      </x:c>
      <x:c r="B296" s="21" t="str">
        <x:v>DP-2026-026914</x:v>
      </x:c>
      <x:c r="C296" s="21" t="str">
        <x:v>ACH PAYMENT - Brooks, Johnson and Olson - DP-2026-026914</x:v>
      </x:c>
      <x:c r="D296" s="21" t="str">
        <x:v>Supplier payment</x:v>
      </x:c>
      <x:c r="E296" s="18" t="n">
        <x:v>550.27</x:v>
      </x:c>
      <x:c r="F296" s="18"/>
      <x:c r="G296" s="18" t="n">
        <x:v>-550.27</x:v>
      </x:c>
      <x:c r="H296" s="18" t="n">
        <x:f>H295+G296</x:f>
        <x:v>9444664.84</x:v>
      </x:c>
    </x:row>
    <x:row r="297">
      <x:c r="A297" s="20" t="n">
        <x:v>46176</x:v>
      </x:c>
      <x:c r="B297" s="21" t="str">
        <x:v>DP-2026-026965</x:v>
      </x:c>
      <x:c r="C297" s="21" t="str">
        <x:v>ACH PAYMENT - Keith PLC - DP-2026-026965</x:v>
      </x:c>
      <x:c r="D297" s="21" t="str">
        <x:v>Supplier payment</x:v>
      </x:c>
      <x:c r="E297" s="18" t="n">
        <x:v>586.33</x:v>
      </x:c>
      <x:c r="F297" s="18"/>
      <x:c r="G297" s="18" t="n">
        <x:v>-586.33</x:v>
      </x:c>
      <x:c r="H297" s="18" t="n">
        <x:f>H296+G297</x:f>
        <x:v>9444078.51</x:v>
      </x:c>
    </x:row>
    <x:row r="298">
      <x:c r="A298" s="20" t="n">
        <x:v>46176</x:v>
      </x:c>
      <x:c r="B298" s="21" t="str">
        <x:v>DP-2026-026974</x:v>
      </x:c>
      <x:c r="C298" s="21" t="str">
        <x:v>ACH PAYMENT - Powell Inc - DP-2026-026974</x:v>
      </x:c>
      <x:c r="D298" s="21" t="str">
        <x:v>Supplier payment</x:v>
      </x:c>
      <x:c r="E298" s="18" t="n">
        <x:v>21.46</x:v>
      </x:c>
      <x:c r="F298" s="18"/>
      <x:c r="G298" s="18" t="n">
        <x:v>-21.46</x:v>
      </x:c>
      <x:c r="H298" s="18" t="n">
        <x:f>H297+G298</x:f>
        <x:v>9444057.049999999</x:v>
      </x:c>
    </x:row>
    <x:row r="299">
      <x:c r="A299" s="20" t="n">
        <x:v>46176</x:v>
      </x:c>
      <x:c r="B299" s="21" t="str">
        <x:v>DP-2026-026978</x:v>
      </x:c>
      <x:c r="C299" s="21" t="str">
        <x:v>ACH PAYMENT - Garcia Group - DP-2026-026978</x:v>
      </x:c>
      <x:c r="D299" s="21" t="str">
        <x:v>Supplier payment</x:v>
      </x:c>
      <x:c r="E299" s="18" t="n">
        <x:v>2162.68</x:v>
      </x:c>
      <x:c r="F299" s="18"/>
      <x:c r="G299" s="18" t="n">
        <x:v>-2162.68</x:v>
      </x:c>
      <x:c r="H299" s="18" t="n">
        <x:f>H298+G299</x:f>
        <x:v>9441894.37</x:v>
      </x:c>
    </x:row>
    <x:row r="300">
      <x:c r="A300" s="20" t="n">
        <x:v>46176</x:v>
      </x:c>
      <x:c r="B300" s="21" t="str">
        <x:v>DP-2026-026982</x:v>
      </x:c>
      <x:c r="C300" s="21" t="str">
        <x:v>ACH PAYMENT - Fletcher Ltd - DP-2026-026982</x:v>
      </x:c>
      <x:c r="D300" s="21" t="str">
        <x:v>Supplier payment</x:v>
      </x:c>
      <x:c r="E300" s="18" t="n">
        <x:v>761.28</x:v>
      </x:c>
      <x:c r="F300" s="18"/>
      <x:c r="G300" s="18" t="n">
        <x:v>-761.28</x:v>
      </x:c>
      <x:c r="H300" s="18" t="n">
        <x:f>H299+G300</x:f>
        <x:v>9441133.09</x:v>
      </x:c>
    </x:row>
    <x:row r="301">
      <x:c r="A301" s="20" t="n">
        <x:v>46176</x:v>
      </x:c>
      <x:c r="B301" s="21" t="str">
        <x:v>DP-2026-027001</x:v>
      </x:c>
      <x:c r="C301" s="21" t="str">
        <x:v>ACH PAYMENT - Nguyen-Weaver - DP-2026-027001</x:v>
      </x:c>
      <x:c r="D301" s="21" t="str">
        <x:v>Supplier payment</x:v>
      </x:c>
      <x:c r="E301" s="18" t="n">
        <x:v>376.53</x:v>
      </x:c>
      <x:c r="F301" s="18"/>
      <x:c r="G301" s="18" t="n">
        <x:v>-376.53</x:v>
      </x:c>
      <x:c r="H301" s="18" t="n">
        <x:f>H300+G301</x:f>
        <x:v>9440756.56</x:v>
      </x:c>
    </x:row>
    <x:row r="302">
      <x:c r="A302" s="20" t="n">
        <x:v>46176</x:v>
      </x:c>
      <x:c r="B302" s="21" t="str">
        <x:v>DP-2026-027003</x:v>
      </x:c>
      <x:c r="C302" s="21" t="str">
        <x:v>ACH PAYMENT - Perez, Schultz and Ward - DP-2026-027003</x:v>
      </x:c>
      <x:c r="D302" s="21" t="str">
        <x:v>Supplier payment</x:v>
      </x:c>
      <x:c r="E302" s="18" t="n">
        <x:v>2186.99</x:v>
      </x:c>
      <x:c r="F302" s="18"/>
      <x:c r="G302" s="18" t="n">
        <x:v>-2186.99</x:v>
      </x:c>
      <x:c r="H302" s="18" t="n">
        <x:f>H301+G302</x:f>
        <x:v>9438569.57</x:v>
      </x:c>
    </x:row>
    <x:row r="303">
      <x:c r="A303" s="20" t="n">
        <x:v>46176</x:v>
      </x:c>
      <x:c r="B303" s="21" t="str">
        <x:v>DP-2026-027019</x:v>
      </x:c>
      <x:c r="C303" s="21" t="str">
        <x:v>ACH PAYMENT - Lindsey and Sons - DP-2026-027019</x:v>
      </x:c>
      <x:c r="D303" s="21" t="str">
        <x:v>Supplier payment</x:v>
      </x:c>
      <x:c r="E303" s="18" t="n">
        <x:v>95.98</x:v>
      </x:c>
      <x:c r="F303" s="18"/>
      <x:c r="G303" s="18" t="n">
        <x:v>-95.98</x:v>
      </x:c>
      <x:c r="H303" s="18" t="n">
        <x:f>H302+G303</x:f>
        <x:v>9438473.59</x:v>
      </x:c>
    </x:row>
    <x:row r="304">
      <x:c r="A304" s="20" t="n">
        <x:v>46176</x:v>
      </x:c>
      <x:c r="B304" s="21" t="str">
        <x:v>DP-2026-027026</x:v>
      </x:c>
      <x:c r="C304" s="21" t="str">
        <x:v>ACH PAYMENT - Keith PLC - DP-2026-027026</x:v>
      </x:c>
      <x:c r="D304" s="21" t="str">
        <x:v>Supplier payment</x:v>
      </x:c>
      <x:c r="E304" s="18" t="n">
        <x:v>352.88</x:v>
      </x:c>
      <x:c r="F304" s="18"/>
      <x:c r="G304" s="18" t="n">
        <x:v>-352.88</x:v>
      </x:c>
      <x:c r="H304" s="18" t="n">
        <x:f>H303+G304</x:f>
        <x:v>9438120.709999999</x:v>
      </x:c>
    </x:row>
    <x:row r="305">
      <x:c r="A305" s="20" t="n">
        <x:v>46176</x:v>
      </x:c>
      <x:c r="B305" s="21" t="str">
        <x:v>DP-2026-027037</x:v>
      </x:c>
      <x:c r="C305" s="21" t="str">
        <x:v>ACH PAYMENT - Garcia Group - DP-2026-027037</x:v>
      </x:c>
      <x:c r="D305" s="21" t="str">
        <x:v>Supplier payment</x:v>
      </x:c>
      <x:c r="E305" s="18" t="n">
        <x:v>14.86</x:v>
      </x:c>
      <x:c r="F305" s="18"/>
      <x:c r="G305" s="18" t="n">
        <x:v>-14.86</x:v>
      </x:c>
      <x:c r="H305" s="18" t="n">
        <x:f>H304+G305</x:f>
        <x:v>9438105.85</x:v>
      </x:c>
    </x:row>
    <x:row r="306">
      <x:c r="A306" s="20" t="n">
        <x:v>46176</x:v>
      </x:c>
      <x:c r="B306" s="21" t="str">
        <x:v>DP-2026-027052</x:v>
      </x:c>
      <x:c r="C306" s="21" t="str">
        <x:v>ACH PAYMENT - Hester Ltd - DP-2026-027052</x:v>
      </x:c>
      <x:c r="D306" s="21" t="str">
        <x:v>Supplier payment</x:v>
      </x:c>
      <x:c r="E306" s="18" t="n">
        <x:v>912.7</x:v>
      </x:c>
      <x:c r="F306" s="18"/>
      <x:c r="G306" s="18" t="n">
        <x:v>-912.7</x:v>
      </x:c>
      <x:c r="H306" s="18" t="n">
        <x:f>H305+G306</x:f>
        <x:v>9437193.15</x:v>
      </x:c>
    </x:row>
    <x:row r="307">
      <x:c r="A307" s="20" t="n">
        <x:v>46176</x:v>
      </x:c>
      <x:c r="B307" s="21" t="str">
        <x:v>DP-2026-027074</x:v>
      </x:c>
      <x:c r="C307" s="21" t="str">
        <x:v>ACH PAYMENT - Brooks, Johnson and Olson - DP-2026-027074</x:v>
      </x:c>
      <x:c r="D307" s="21" t="str">
        <x:v>Supplier payment</x:v>
      </x:c>
      <x:c r="E307" s="18" t="n">
        <x:v>561.8</x:v>
      </x:c>
      <x:c r="F307" s="18"/>
      <x:c r="G307" s="18" t="n">
        <x:v>-561.8</x:v>
      </x:c>
      <x:c r="H307" s="18" t="n">
        <x:f>H306+G307</x:f>
        <x:v>9436631.35</x:v>
      </x:c>
    </x:row>
    <x:row r="308">
      <x:c r="A308" s="20" t="n">
        <x:v>46176</x:v>
      </x:c>
      <x:c r="B308" s="21" t="str">
        <x:v>DP-2026-027088</x:v>
      </x:c>
      <x:c r="C308" s="21" t="str">
        <x:v>ACH PAYMENT - Brooks, Johnson and Olson - DP-2026-027088</x:v>
      </x:c>
      <x:c r="D308" s="21" t="str">
        <x:v>Supplier payment</x:v>
      </x:c>
      <x:c r="E308" s="18" t="n">
        <x:v>227.89</x:v>
      </x:c>
      <x:c r="F308" s="18"/>
      <x:c r="G308" s="18" t="n">
        <x:v>-227.89</x:v>
      </x:c>
      <x:c r="H308" s="18" t="n">
        <x:f>H307+G308</x:f>
        <x:v>9436403.459999999</x:v>
      </x:c>
    </x:row>
    <x:row r="309">
      <x:c r="A309" s="20" t="n">
        <x:v>46176</x:v>
      </x:c>
      <x:c r="B309" s="21" t="str">
        <x:v>DP-2026-027266</x:v>
      </x:c>
      <x:c r="C309" s="21" t="str">
        <x:v>ACH PAYMENT - Kelly-Bradshaw - DP-2026-027266</x:v>
      </x:c>
      <x:c r="D309" s="21" t="str">
        <x:v>Supplier payment</x:v>
      </x:c>
      <x:c r="E309" s="18" t="n">
        <x:v>341.98</x:v>
      </x:c>
      <x:c r="F309" s="18"/>
      <x:c r="G309" s="18" t="n">
        <x:v>-341.98</x:v>
      </x:c>
      <x:c r="H309" s="18" t="n">
        <x:f>H308+G309</x:f>
        <x:v>9436061.479999999</x:v>
      </x:c>
    </x:row>
    <x:row r="310">
      <x:c r="A310" s="20" t="n">
        <x:v>46176</x:v>
      </x:c>
      <x:c r="B310" s="21" t="str">
        <x:v>DP-2026-027267</x:v>
      </x:c>
      <x:c r="C310" s="21" t="str">
        <x:v>ACH PAYMENT - Brooks, Johnson and Olson - DP-2026-027267</x:v>
      </x:c>
      <x:c r="D310" s="21" t="str">
        <x:v>Supplier payment</x:v>
      </x:c>
      <x:c r="E310" s="18" t="n">
        <x:v>373.6</x:v>
      </x:c>
      <x:c r="F310" s="18"/>
      <x:c r="G310" s="18" t="n">
        <x:v>-373.6</x:v>
      </x:c>
      <x:c r="H310" s="18" t="n">
        <x:f>H309+G310</x:f>
        <x:v>9435687.879999999</x:v>
      </x:c>
    </x:row>
    <x:row r="311">
      <x:c r="A311" s="20" t="n">
        <x:v>46176</x:v>
      </x:c>
      <x:c r="B311" s="21" t="str">
        <x:v>DP-2026-027279</x:v>
      </x:c>
      <x:c r="C311" s="21" t="str">
        <x:v>ACH PAYMENT - Hoffman LLC - DP-2026-027279</x:v>
      </x:c>
      <x:c r="D311" s="21" t="str">
        <x:v>Supplier payment</x:v>
      </x:c>
      <x:c r="E311" s="18" t="n">
        <x:v>594.64</x:v>
      </x:c>
      <x:c r="F311" s="18"/>
      <x:c r="G311" s="18" t="n">
        <x:v>-594.64</x:v>
      </x:c>
      <x:c r="H311" s="18" t="n">
        <x:f>H310+G311</x:f>
        <x:v>9435093.239999998</x:v>
      </x:c>
    </x:row>
    <x:row r="312">
      <x:c r="A312" s="20" t="n">
        <x:v>46176</x:v>
      </x:c>
      <x:c r="B312" s="21" t="str">
        <x:v>DP-2026-027281</x:v>
      </x:c>
      <x:c r="C312" s="21" t="str">
        <x:v>ACH PAYMENT - Keith PLC - DP-2026-027281</x:v>
      </x:c>
      <x:c r="D312" s="21" t="str">
        <x:v>Supplier payment</x:v>
      </x:c>
      <x:c r="E312" s="18" t="n">
        <x:v>596.69</x:v>
      </x:c>
      <x:c r="F312" s="18"/>
      <x:c r="G312" s="18" t="n">
        <x:v>-596.69</x:v>
      </x:c>
      <x:c r="H312" s="18" t="n">
        <x:f>H311+G312</x:f>
        <x:v>9434496.549999999</x:v>
      </x:c>
    </x:row>
    <x:row r="313">
      <x:c r="A313" s="20" t="n">
        <x:v>46176</x:v>
      </x:c>
      <x:c r="B313" s="21" t="str">
        <x:v>DP-2026-027284</x:v>
      </x:c>
      <x:c r="C313" s="21" t="str">
        <x:v>WIRE TRANSFER PAYMENT - Thomas LLC - DP-2026-027284</x:v>
      </x:c>
      <x:c r="D313" s="21" t="str">
        <x:v>Supplier payment</x:v>
      </x:c>
      <x:c r="E313" s="18" t="n">
        <x:v>31.24</x:v>
      </x:c>
      <x:c r="F313" s="18"/>
      <x:c r="G313" s="18" t="n">
        <x:v>-31.24</x:v>
      </x:c>
      <x:c r="H313" s="18" t="n">
        <x:f>H312+G313</x:f>
        <x:v>9434465.309999999</x:v>
      </x:c>
    </x:row>
    <x:row r="314">
      <x:c r="A314" s="20" t="n">
        <x:v>46176</x:v>
      </x:c>
      <x:c r="B314" s="21" t="str">
        <x:v>DP-2026-027293</x:v>
      </x:c>
      <x:c r="C314" s="21" t="str">
        <x:v>ACH PAYMENT - Coffey Group - DP-2026-027293</x:v>
      </x:c>
      <x:c r="D314" s="21" t="str">
        <x:v>Supplier payment</x:v>
      </x:c>
      <x:c r="E314" s="18" t="n">
        <x:v>536.02</x:v>
      </x:c>
      <x:c r="F314" s="18"/>
      <x:c r="G314" s="18" t="n">
        <x:v>-536.02</x:v>
      </x:c>
      <x:c r="H314" s="18" t="n">
        <x:f>H313+G314</x:f>
        <x:v>9433929.29</x:v>
      </x:c>
    </x:row>
    <x:row r="315">
      <x:c r="A315" s="20" t="n">
        <x:v>46176</x:v>
      </x:c>
      <x:c r="B315" s="21" t="str">
        <x:v>DP-2026-027311</x:v>
      </x:c>
      <x:c r="C315" s="21" t="str">
        <x:v>ACH PAYMENT - Collins-Johnson - DP-2026-027311</x:v>
      </x:c>
      <x:c r="D315" s="21" t="str">
        <x:v>Supplier payment</x:v>
      </x:c>
      <x:c r="E315" s="18" t="n">
        <x:v>453.05</x:v>
      </x:c>
      <x:c r="F315" s="18"/>
      <x:c r="G315" s="18" t="n">
        <x:v>-453.05</x:v>
      </x:c>
      <x:c r="H315" s="18" t="n">
        <x:f>H314+G315</x:f>
        <x:v>9433476.239999998</x:v>
      </x:c>
    </x:row>
    <x:row r="316">
      <x:c r="A316" s="20" t="n">
        <x:v>46176</x:v>
      </x:c>
      <x:c r="B316" s="21" t="str">
        <x:v>DP-2026-027312</x:v>
      </x:c>
      <x:c r="C316" s="21" t="str">
        <x:v>WIRE TRANSFER PAYMENT - Velasquez-Baxter - DP-2026-027312</x:v>
      </x:c>
      <x:c r="D316" s="21" t="str">
        <x:v>Supplier payment</x:v>
      </x:c>
      <x:c r="E316" s="18" t="n">
        <x:v>167.94</x:v>
      </x:c>
      <x:c r="F316" s="18"/>
      <x:c r="G316" s="18" t="n">
        <x:v>-167.94</x:v>
      </x:c>
      <x:c r="H316" s="18" t="n">
        <x:f>H315+G316</x:f>
        <x:v>9433308.299999999</x:v>
      </x:c>
    </x:row>
    <x:row r="317">
      <x:c r="A317" s="20" t="n">
        <x:v>46176</x:v>
      </x:c>
      <x:c r="B317" s="21" t="str">
        <x:v>DP-2026-027317</x:v>
      </x:c>
      <x:c r="C317" s="21" t="str">
        <x:v>ACH PAYMENT - Green and Sons - DP-2026-027317</x:v>
      </x:c>
      <x:c r="D317" s="21" t="str">
        <x:v>Supplier payment</x:v>
      </x:c>
      <x:c r="E317" s="18" t="n">
        <x:v>716.73</x:v>
      </x:c>
      <x:c r="F317" s="18"/>
      <x:c r="G317" s="18" t="n">
        <x:v>-716.73</x:v>
      </x:c>
      <x:c r="H317" s="18" t="n">
        <x:f>H316+G317</x:f>
        <x:v>9432591.569999998</x:v>
      </x:c>
    </x:row>
    <x:row r="318">
      <x:c r="A318" s="20" t="n">
        <x:v>46176</x:v>
      </x:c>
      <x:c r="B318" s="21" t="str">
        <x:v>DP-2026-027320</x:v>
      </x:c>
      <x:c r="C318" s="21" t="str">
        <x:v>ACH PAYMENT - Martinez LLC - DP-2026-027320</x:v>
      </x:c>
      <x:c r="D318" s="21" t="str">
        <x:v>Supplier payment</x:v>
      </x:c>
      <x:c r="E318" s="18" t="n">
        <x:v>4870.27</x:v>
      </x:c>
      <x:c r="F318" s="18"/>
      <x:c r="G318" s="18" t="n">
        <x:v>-4870.27</x:v>
      </x:c>
      <x:c r="H318" s="18" t="n">
        <x:f>H317+G318</x:f>
        <x:v>9427721.299999999</x:v>
      </x:c>
    </x:row>
    <x:row r="319">
      <x:c r="A319" s="20" t="n">
        <x:v>46176</x:v>
      </x:c>
      <x:c r="B319" s="21" t="str">
        <x:v>DP-2026-027331</x:v>
      </x:c>
      <x:c r="C319" s="21" t="str">
        <x:v>ACH PAYMENT - Peters, Terry and Zimmerman - DP-2026-027331</x:v>
      </x:c>
      <x:c r="D319" s="21" t="str">
        <x:v>Supplier payment</x:v>
      </x:c>
      <x:c r="E319" s="18" t="n">
        <x:v>1419.59</x:v>
      </x:c>
      <x:c r="F319" s="18"/>
      <x:c r="G319" s="18" t="n">
        <x:v>-1419.59</x:v>
      </x:c>
      <x:c r="H319" s="18" t="n">
        <x:f>H318+G319</x:f>
        <x:v>9426301.709999999</x:v>
      </x:c>
    </x:row>
    <x:row r="320">
      <x:c r="A320" s="20" t="n">
        <x:v>46176</x:v>
      </x:c>
      <x:c r="B320" s="21" t="str">
        <x:v>DP-2026-027346</x:v>
      </x:c>
      <x:c r="C320" s="21" t="str">
        <x:v>ACH PAYMENT - Bell, Pruitt and David - DP-2026-027346</x:v>
      </x:c>
      <x:c r="D320" s="21" t="str">
        <x:v>Supplier payment</x:v>
      </x:c>
      <x:c r="E320" s="18" t="n">
        <x:v>33143.22</x:v>
      </x:c>
      <x:c r="F320" s="18"/>
      <x:c r="G320" s="18" t="n">
        <x:v>-33143.22</x:v>
      </x:c>
      <x:c r="H320" s="18" t="n">
        <x:f>H319+G320</x:f>
        <x:v>9393158.489999998</x:v>
      </x:c>
    </x:row>
    <x:row r="321">
      <x:c r="A321" s="20" t="n">
        <x:v>46176</x:v>
      </x:c>
      <x:c r="B321" s="21" t="str">
        <x:v>DP-2026-027348</x:v>
      </x:c>
      <x:c r="C321" s="21" t="str">
        <x:v>ACH PAYMENT - Nelson-Rocha - DP-2026-027348</x:v>
      </x:c>
      <x:c r="D321" s="21" t="str">
        <x:v>Supplier payment</x:v>
      </x:c>
      <x:c r="E321" s="18" t="n">
        <x:v>255.41</x:v>
      </x:c>
      <x:c r="F321" s="18"/>
      <x:c r="G321" s="18" t="n">
        <x:v>-255.41</x:v>
      </x:c>
      <x:c r="H321" s="18" t="n">
        <x:f>H320+G321</x:f>
        <x:v>9392903.079999998</x:v>
      </x:c>
    </x:row>
    <x:row r="322">
      <x:c r="A322" s="20" t="n">
        <x:v>46176</x:v>
      </x:c>
      <x:c r="B322" s="21" t="str">
        <x:v>DP-2026-027364</x:v>
      </x:c>
      <x:c r="C322" s="21" t="str">
        <x:v>ACH PAYMENT - Keith PLC - DP-2026-027364</x:v>
      </x:c>
      <x:c r="D322" s="21" t="str">
        <x:v>Supplier payment</x:v>
      </x:c>
      <x:c r="E322" s="18" t="n">
        <x:v>101.76</x:v>
      </x:c>
      <x:c r="F322" s="18"/>
      <x:c r="G322" s="18" t="n">
        <x:v>-101.76</x:v>
      </x:c>
      <x:c r="H322" s="18" t="n">
        <x:f>H321+G322</x:f>
        <x:v>9392801.319999998</x:v>
      </x:c>
    </x:row>
    <x:row r="323">
      <x:c r="A323" s="20" t="n">
        <x:v>46176</x:v>
      </x:c>
      <x:c r="B323" s="21" t="str">
        <x:v>DP-2026-027379</x:v>
      </x:c>
      <x:c r="C323" s="21" t="str">
        <x:v>ACH PAYMENT - Peters, Terry and Zimmerman - DP-2026-027379</x:v>
      </x:c>
      <x:c r="D323" s="21" t="str">
        <x:v>Supplier payment</x:v>
      </x:c>
      <x:c r="E323" s="18" t="n">
        <x:v>296.01</x:v>
      </x:c>
      <x:c r="F323" s="18"/>
      <x:c r="G323" s="18" t="n">
        <x:v>-296.01</x:v>
      </x:c>
      <x:c r="H323" s="18" t="n">
        <x:f>H322+G323</x:f>
        <x:v>9392505.309999999</x:v>
      </x:c>
    </x:row>
    <x:row r="324">
      <x:c r="A324" s="20" t="n">
        <x:v>46176</x:v>
      </x:c>
      <x:c r="B324" s="21" t="str">
        <x:v>DP-2026-027384</x:v>
      </x:c>
      <x:c r="C324" s="21" t="str">
        <x:v>ACH PAYMENT - Perez-Byrd - DP-2026-027384</x:v>
      </x:c>
      <x:c r="D324" s="21" t="str">
        <x:v>Supplier payment</x:v>
      </x:c>
      <x:c r="E324" s="18" t="n">
        <x:v>797.83</x:v>
      </x:c>
      <x:c r="F324" s="18"/>
      <x:c r="G324" s="18" t="n">
        <x:v>-797.83</x:v>
      </x:c>
      <x:c r="H324" s="18" t="n">
        <x:f>H323+G324</x:f>
        <x:v>9391707.479999999</x:v>
      </x:c>
    </x:row>
    <x:row r="325">
      <x:c r="A325" s="20" t="n">
        <x:v>46176</x:v>
      </x:c>
      <x:c r="B325" s="21" t="str">
        <x:v>DP-2026-027390</x:v>
      </x:c>
      <x:c r="C325" s="21" t="str">
        <x:v>ACH PAYMENT - Peters, Terry and Zimmerman - DP-2026-027390</x:v>
      </x:c>
      <x:c r="D325" s="21" t="str">
        <x:v>Supplier payment</x:v>
      </x:c>
      <x:c r="E325" s="18" t="n">
        <x:v>15.74</x:v>
      </x:c>
      <x:c r="F325" s="18"/>
      <x:c r="G325" s="18" t="n">
        <x:v>-15.74</x:v>
      </x:c>
      <x:c r="H325" s="18" t="n">
        <x:f>H324+G325</x:f>
        <x:v>9391691.739999998</x:v>
      </x:c>
    </x:row>
    <x:row r="326">
      <x:c r="A326" s="20" t="n">
        <x:v>46176</x:v>
      </x:c>
      <x:c r="B326" s="21" t="str">
        <x:v>DP-2026-027396</x:v>
      </x:c>
      <x:c r="C326" s="21" t="str">
        <x:v>ACH PAYMENT - Rodriguez, Goodman and Lee - DP-2026-027396</x:v>
      </x:c>
      <x:c r="D326" s="21" t="str">
        <x:v>Supplier payment</x:v>
      </x:c>
      <x:c r="E326" s="18" t="n">
        <x:v>794.53</x:v>
      </x:c>
      <x:c r="F326" s="18"/>
      <x:c r="G326" s="18" t="n">
        <x:v>-794.53</x:v>
      </x:c>
      <x:c r="H326" s="18" t="n">
        <x:f>H325+G326</x:f>
        <x:v>9390897.209999999</x:v>
      </x:c>
    </x:row>
    <x:row r="327">
      <x:c r="A327" s="20" t="n">
        <x:v>46176</x:v>
      </x:c>
      <x:c r="B327" s="21" t="str">
        <x:v>DP-2026-027401</x:v>
      </x:c>
      <x:c r="C327" s="21" t="str">
        <x:v>ACH PAYMENT - Boone-Benton - DP-2026-027401</x:v>
      </x:c>
      <x:c r="D327" s="21" t="str">
        <x:v>Supplier payment</x:v>
      </x:c>
      <x:c r="E327" s="18" t="n">
        <x:v>386.98</x:v>
      </x:c>
      <x:c r="F327" s="18"/>
      <x:c r="G327" s="18" t="n">
        <x:v>-386.98</x:v>
      </x:c>
      <x:c r="H327" s="18" t="n">
        <x:f>H326+G327</x:f>
        <x:v>9390510.229999999</x:v>
      </x:c>
    </x:row>
    <x:row r="328">
      <x:c r="A328" s="20" t="n">
        <x:v>46176</x:v>
      </x:c>
      <x:c r="B328" s="21" t="str">
        <x:v>DP-2026-027405</x:v>
      </x:c>
      <x:c r="C328" s="21" t="str">
        <x:v>ACH PAYMENT - Sweeney PLC - DP-2026-027405</x:v>
      </x:c>
      <x:c r="D328" s="21" t="str">
        <x:v>Supplier payment</x:v>
      </x:c>
      <x:c r="E328" s="18" t="n">
        <x:v>482.9</x:v>
      </x:c>
      <x:c r="F328" s="18"/>
      <x:c r="G328" s="18" t="n">
        <x:v>-482.9</x:v>
      </x:c>
      <x:c r="H328" s="18" t="n">
        <x:f>H327+G328</x:f>
        <x:v>9390027.329999998</x:v>
      </x:c>
    </x:row>
    <x:row r="329">
      <x:c r="A329" s="20" t="n">
        <x:v>46176</x:v>
      </x:c>
      <x:c r="B329" s="21" t="str">
        <x:v>DP-2026-027417</x:v>
      </x:c>
      <x:c r="C329" s="21" t="str">
        <x:v>ACH PAYMENT - Lopez, Sheppard and Ramirez - DP-2026-027417</x:v>
      </x:c>
      <x:c r="D329" s="21" t="str">
        <x:v>Supplier payment</x:v>
      </x:c>
      <x:c r="E329" s="18" t="n">
        <x:v>972.91</x:v>
      </x:c>
      <x:c r="F329" s="18"/>
      <x:c r="G329" s="18" t="n">
        <x:v>-972.91</x:v>
      </x:c>
      <x:c r="H329" s="18" t="n">
        <x:f>H328+G329</x:f>
        <x:v>9389054.419999998</x:v>
      </x:c>
    </x:row>
    <x:row r="330">
      <x:c r="A330" s="20" t="n">
        <x:v>46176</x:v>
      </x:c>
      <x:c r="B330" s="21" t="str">
        <x:v>DP-2026-027427</x:v>
      </x:c>
      <x:c r="C330" s="21" t="str">
        <x:v>ACH PAYMENT - Peters, Terry and Zimmerman - DP-2026-027427</x:v>
      </x:c>
      <x:c r="D330" s="21" t="str">
        <x:v>Supplier payment</x:v>
      </x:c>
      <x:c r="E330" s="18" t="n">
        <x:v>259.59</x:v>
      </x:c>
      <x:c r="F330" s="18"/>
      <x:c r="G330" s="18" t="n">
        <x:v>-259.59</x:v>
      </x:c>
      <x:c r="H330" s="18" t="n">
        <x:f>H329+G330</x:f>
        <x:v>9388794.829999998</x:v>
      </x:c>
    </x:row>
    <x:row r="331">
      <x:c r="A331" s="20" t="n">
        <x:v>46176</x:v>
      </x:c>
      <x:c r="B331" s="21" t="str">
        <x:v>DP-2026-027428</x:v>
      </x:c>
      <x:c r="C331" s="21" t="str">
        <x:v>WIRE TRANSFER PAYMENT - Bell, Pruitt and David - DP-2026-027428</x:v>
      </x:c>
      <x:c r="D331" s="21" t="str">
        <x:v>Supplier payment</x:v>
      </x:c>
      <x:c r="E331" s="18" t="n">
        <x:v>326.01</x:v>
      </x:c>
      <x:c r="F331" s="18"/>
      <x:c r="G331" s="18" t="n">
        <x:v>-326.01</x:v>
      </x:c>
      <x:c r="H331" s="18" t="n">
        <x:f>H330+G331</x:f>
        <x:v>9388468.819999998</x:v>
      </x:c>
    </x:row>
    <x:row r="332">
      <x:c r="A332" s="20" t="n">
        <x:v>46176</x:v>
      </x:c>
      <x:c r="B332" s="21" t="str">
        <x:v>DP-2026-027430</x:v>
      </x:c>
      <x:c r="C332" s="21" t="str">
        <x:v>WIRE TRANSFER PAYMENT - Velasquez-Baxter - DP-2026-027430</x:v>
      </x:c>
      <x:c r="D332" s="21" t="str">
        <x:v>Supplier payment</x:v>
      </x:c>
      <x:c r="E332" s="18" t="n">
        <x:v>517.17</x:v>
      </x:c>
      <x:c r="F332" s="18"/>
      <x:c r="G332" s="18" t="n">
        <x:v>-517.17</x:v>
      </x:c>
      <x:c r="H332" s="18" t="n">
        <x:f>H331+G332</x:f>
        <x:v>9387951.649999999</x:v>
      </x:c>
    </x:row>
    <x:row r="333">
      <x:c r="A333" s="20" t="n">
        <x:v>46176</x:v>
      </x:c>
      <x:c r="B333" s="21" t="str">
        <x:v>DP-2026-027436</x:v>
      </x:c>
      <x:c r="C333" s="21" t="str">
        <x:v>ACH PAYMENT - Hoffman LLC - DP-2026-027436</x:v>
      </x:c>
      <x:c r="D333" s="21" t="str">
        <x:v>Supplier payment</x:v>
      </x:c>
      <x:c r="E333" s="18" t="n">
        <x:v>595.94</x:v>
      </x:c>
      <x:c r="F333" s="18"/>
      <x:c r="G333" s="18" t="n">
        <x:v>-595.94</x:v>
      </x:c>
      <x:c r="H333" s="18" t="n">
        <x:f>H332+G333</x:f>
        <x:v>9387355.709999999</x:v>
      </x:c>
    </x:row>
    <x:row r="334">
      <x:c r="A334" s="20" t="n">
        <x:v>46176</x:v>
      </x:c>
      <x:c r="B334" s="21" t="str">
        <x:v>DP-2026-027460</x:v>
      </x:c>
      <x:c r="C334" s="21" t="str">
        <x:v>ACH PAYMENT - Garcia Group - DP-2026-027460</x:v>
      </x:c>
      <x:c r="D334" s="21" t="str">
        <x:v>Supplier payment</x:v>
      </x:c>
      <x:c r="E334" s="18" t="n">
        <x:v>540.21</x:v>
      </x:c>
      <x:c r="F334" s="18"/>
      <x:c r="G334" s="18" t="n">
        <x:v>-540.21</x:v>
      </x:c>
      <x:c r="H334" s="18" t="n">
        <x:f>H333+G334</x:f>
        <x:v>9386815.499999998</x:v>
      </x:c>
    </x:row>
    <x:row r="335">
      <x:c r="A335" s="20" t="n">
        <x:v>46176</x:v>
      </x:c>
      <x:c r="B335" s="21" t="str">
        <x:v>DP-2026-027467</x:v>
      </x:c>
      <x:c r="C335" s="21" t="str">
        <x:v>WIRE TRANSFER PAYMENT - Morrison-Smith - DP-2026-027467</x:v>
      </x:c>
      <x:c r="D335" s="21" t="str">
        <x:v>Supplier payment</x:v>
      </x:c>
      <x:c r="E335" s="18" t="n">
        <x:v>3236.5</x:v>
      </x:c>
      <x:c r="F335" s="18"/>
      <x:c r="G335" s="18" t="n">
        <x:v>-3236.5</x:v>
      </x:c>
      <x:c r="H335" s="18" t="n">
        <x:f>H334+G335</x:f>
        <x:v>9383578.999999998</x:v>
      </x:c>
    </x:row>
    <x:row r="336">
      <x:c r="A336" s="20" t="n">
        <x:v>46176</x:v>
      </x:c>
      <x:c r="B336" s="21" t="str">
        <x:v>DP-2026-027468</x:v>
      </x:c>
      <x:c r="C336" s="21" t="str">
        <x:v>WIRE TRANSFER PAYMENT - Peters, Terry and Zimmerman - DP-2026-027468</x:v>
      </x:c>
      <x:c r="D336" s="21" t="str">
        <x:v>Supplier payment</x:v>
      </x:c>
      <x:c r="E336" s="18" t="n">
        <x:v>770.41</x:v>
      </x:c>
      <x:c r="F336" s="18"/>
      <x:c r="G336" s="18" t="n">
        <x:v>-770.41</x:v>
      </x:c>
      <x:c r="H336" s="18" t="n">
        <x:f>H335+G336</x:f>
        <x:v>9382808.589999998</x:v>
      </x:c>
    </x:row>
    <x:row r="337">
      <x:c r="A337" s="20" t="n">
        <x:v>46176</x:v>
      </x:c>
      <x:c r="B337" s="21" t="str">
        <x:v>DP-2026-027498</x:v>
      </x:c>
      <x:c r="C337" s="21" t="str">
        <x:v>ACH PAYMENT - Garcia Group - DP-2026-027498</x:v>
      </x:c>
      <x:c r="D337" s="21" t="str">
        <x:v>Supplier payment</x:v>
      </x:c>
      <x:c r="E337" s="18" t="n">
        <x:v>5670.77</x:v>
      </x:c>
      <x:c r="F337" s="18"/>
      <x:c r="G337" s="18" t="n">
        <x:v>-5670.77</x:v>
      </x:c>
      <x:c r="H337" s="18" t="n">
        <x:f>H336+G337</x:f>
        <x:v>9377137.819999998</x:v>
      </x:c>
    </x:row>
    <x:row r="338">
      <x:c r="A338" s="20" t="n">
        <x:v>46176</x:v>
      </x:c>
      <x:c r="B338" s="21" t="str">
        <x:v>DP-2026-027507</x:v>
      </x:c>
      <x:c r="C338" s="21" t="str">
        <x:v>ACH PAYMENT - Gay, Clark and Hickman - DP-2026-027507</x:v>
      </x:c>
      <x:c r="D338" s="21" t="str">
        <x:v>Supplier payment</x:v>
      </x:c>
      <x:c r="E338" s="18" t="n">
        <x:v>1358.76</x:v>
      </x:c>
      <x:c r="F338" s="18"/>
      <x:c r="G338" s="18" t="n">
        <x:v>-1358.76</x:v>
      </x:c>
      <x:c r="H338" s="18" t="n">
        <x:f>H337+G338</x:f>
        <x:v>9375779.059999999</x:v>
      </x:c>
    </x:row>
    <x:row r="339">
      <x:c r="A339" s="20" t="n">
        <x:v>46176</x:v>
      </x:c>
      <x:c r="B339" s="21" t="str">
        <x:v>DP-2026-027509</x:v>
      </x:c>
      <x:c r="C339" s="21" t="str">
        <x:v>ACH PAYMENT - Peters, Terry and Zimmerman - DP-2026-027509</x:v>
      </x:c>
      <x:c r="D339" s="21" t="str">
        <x:v>Supplier payment</x:v>
      </x:c>
      <x:c r="E339" s="18" t="n">
        <x:v>445.24</x:v>
      </x:c>
      <x:c r="F339" s="18"/>
      <x:c r="G339" s="18" t="n">
        <x:v>-445.24</x:v>
      </x:c>
      <x:c r="H339" s="18" t="n">
        <x:f>H338+G339</x:f>
        <x:v>9375333.819999998</x:v>
      </x:c>
    </x:row>
    <x:row r="340">
      <x:c r="A340" s="20" t="n">
        <x:v>46176</x:v>
      </x:c>
      <x:c r="B340" s="21" t="str">
        <x:v>DP-2026-027512</x:v>
      </x:c>
      <x:c r="C340" s="21" t="str">
        <x:v>ACH PAYMENT - Coleman-Moore - DP-2026-027512</x:v>
      </x:c>
      <x:c r="D340" s="21" t="str">
        <x:v>Supplier payment</x:v>
      </x:c>
      <x:c r="E340" s="18" t="n">
        <x:v>121.57</x:v>
      </x:c>
      <x:c r="F340" s="18"/>
      <x:c r="G340" s="18" t="n">
        <x:v>-121.57</x:v>
      </x:c>
      <x:c r="H340" s="18" t="n">
        <x:f>H339+G340</x:f>
        <x:v>9375212.249999998</x:v>
      </x:c>
    </x:row>
    <x:row r="341">
      <x:c r="A341" s="20" t="n">
        <x:v>46176</x:v>
      </x:c>
      <x:c r="B341" s="21" t="str">
        <x:v>DP-2026-027514</x:v>
      </x:c>
      <x:c r="C341" s="21" t="str">
        <x:v>ACH PAYMENT - Keith PLC - DP-2026-027514</x:v>
      </x:c>
      <x:c r="D341" s="21" t="str">
        <x:v>Supplier payment</x:v>
      </x:c>
      <x:c r="E341" s="18" t="n">
        <x:v>386.05</x:v>
      </x:c>
      <x:c r="F341" s="18"/>
      <x:c r="G341" s="18" t="n">
        <x:v>-386.05</x:v>
      </x:c>
      <x:c r="H341" s="18" t="n">
        <x:f>H340+G341</x:f>
        <x:v>9374826.199999997</x:v>
      </x:c>
    </x:row>
    <x:row r="342">
      <x:c r="A342" s="20" t="n">
        <x:v>46176</x:v>
      </x:c>
      <x:c r="B342" s="21" t="str">
        <x:v>DP-2026-027516</x:v>
      </x:c>
      <x:c r="C342" s="21" t="str">
        <x:v>ACH PAYMENT - Wright, Sanchez and Garza - DP-2026-027516</x:v>
      </x:c>
      <x:c r="D342" s="21" t="str">
        <x:v>Supplier payment</x:v>
      </x:c>
      <x:c r="E342" s="18" t="n">
        <x:v>14.6</x:v>
      </x:c>
      <x:c r="F342" s="18"/>
      <x:c r="G342" s="18" t="n">
        <x:v>-14.6</x:v>
      </x:c>
      <x:c r="H342" s="18" t="n">
        <x:f>H341+G342</x:f>
        <x:v>9374811.599999998</x:v>
      </x:c>
    </x:row>
    <x:row r="343">
      <x:c r="A343" s="20" t="n">
        <x:v>46176</x:v>
      </x:c>
      <x:c r="B343" s="21" t="str">
        <x:v>DP-2026-027518</x:v>
      </x:c>
      <x:c r="C343" s="21" t="str">
        <x:v>ACH PAYMENT - Salas, Gallagher and Anderson - DP-2026-027518</x:v>
      </x:c>
      <x:c r="D343" s="21" t="str">
        <x:v>Supplier payment</x:v>
      </x:c>
      <x:c r="E343" s="18" t="n">
        <x:v>932.79</x:v>
      </x:c>
      <x:c r="F343" s="18"/>
      <x:c r="G343" s="18" t="n">
        <x:v>-932.79</x:v>
      </x:c>
      <x:c r="H343" s="18" t="n">
        <x:f>H342+G343</x:f>
        <x:v>9373878.809999999</x:v>
      </x:c>
    </x:row>
    <x:row r="344">
      <x:c r="A344" s="20" t="n">
        <x:v>46176</x:v>
      </x:c>
      <x:c r="B344" s="21" t="str">
        <x:v>DP-2026-027522</x:v>
      </x:c>
      <x:c r="C344" s="21" t="str">
        <x:v>ACH PAYMENT - Peters, Terry and Zimmerman - DP-2026-027522</x:v>
      </x:c>
      <x:c r="D344" s="21" t="str">
        <x:v>Supplier payment</x:v>
      </x:c>
      <x:c r="E344" s="18" t="n">
        <x:v>511.12</x:v>
      </x:c>
      <x:c r="F344" s="18"/>
      <x:c r="G344" s="18" t="n">
        <x:v>-511.12</x:v>
      </x:c>
      <x:c r="H344" s="18" t="n">
        <x:f>H343+G344</x:f>
        <x:v>9373367.69</x:v>
      </x:c>
    </x:row>
    <x:row r="345">
      <x:c r="A345" s="20" t="n">
        <x:v>46176</x:v>
      </x:c>
      <x:c r="B345" s="21" t="str">
        <x:v>DP-2026-027524</x:v>
      </x:c>
      <x:c r="C345" s="21" t="str">
        <x:v>ACH PAYMENT - Berger, Stanley and Cooper - DP-2026-027524</x:v>
      </x:c>
      <x:c r="D345" s="21" t="str">
        <x:v>Supplier payment</x:v>
      </x:c>
      <x:c r="E345" s="18" t="n">
        <x:v>1871.67</x:v>
      </x:c>
      <x:c r="F345" s="18"/>
      <x:c r="G345" s="18" t="n">
        <x:v>-1871.67</x:v>
      </x:c>
      <x:c r="H345" s="18" t="n">
        <x:f>H344+G345</x:f>
        <x:v>9371496.02</x:v>
      </x:c>
    </x:row>
    <x:row r="346">
      <x:c r="A346" s="20" t="n">
        <x:v>46176</x:v>
      </x:c>
      <x:c r="B346" s="21" t="str">
        <x:v>DP-2026-027529</x:v>
      </x:c>
      <x:c r="C346" s="21" t="str">
        <x:v>WIRE TRANSFER PAYMENT - Potter-Gross - DP-2026-027529</x:v>
      </x:c>
      <x:c r="D346" s="21" t="str">
        <x:v>Supplier payment</x:v>
      </x:c>
      <x:c r="E346" s="18" t="n">
        <x:v>133.76</x:v>
      </x:c>
      <x:c r="F346" s="18"/>
      <x:c r="G346" s="18" t="n">
        <x:v>-133.76</x:v>
      </x:c>
      <x:c r="H346" s="18" t="n">
        <x:f>H345+G346</x:f>
        <x:v>9371362.26</x:v>
      </x:c>
    </x:row>
    <x:row r="347">
      <x:c r="A347" s="20" t="n">
        <x:v>46176</x:v>
      </x:c>
      <x:c r="B347" s="21" t="str">
        <x:v>DP-2026-027534</x:v>
      </x:c>
      <x:c r="C347" s="21" t="str">
        <x:v>ACH PAYMENT - Day PLC - DP-2026-027534</x:v>
      </x:c>
      <x:c r="D347" s="21" t="str">
        <x:v>Supplier payment</x:v>
      </x:c>
      <x:c r="E347" s="18" t="n">
        <x:v>3942.24</x:v>
      </x:c>
      <x:c r="F347" s="18"/>
      <x:c r="G347" s="18" t="n">
        <x:v>-3942.24</x:v>
      </x:c>
      <x:c r="H347" s="18" t="n">
        <x:f>H346+G347</x:f>
        <x:v>9367420.02</x:v>
      </x:c>
    </x:row>
    <x:row r="348">
      <x:c r="A348" s="20" t="n">
        <x:v>46176</x:v>
      </x:c>
      <x:c r="B348" s="21" t="str">
        <x:v>DP-2026-027538</x:v>
      </x:c>
      <x:c r="C348" s="21" t="str">
        <x:v>ACH PAYMENT - Gomez PLC - DP-2026-027538</x:v>
      </x:c>
      <x:c r="D348" s="21" t="str">
        <x:v>Supplier payment</x:v>
      </x:c>
      <x:c r="E348" s="18" t="n">
        <x:v>326.27</x:v>
      </x:c>
      <x:c r="F348" s="18"/>
      <x:c r="G348" s="18" t="n">
        <x:v>-326.27</x:v>
      </x:c>
      <x:c r="H348" s="18" t="n">
        <x:f>H347+G348</x:f>
        <x:v>9367093.75</x:v>
      </x:c>
    </x:row>
    <x:row r="349">
      <x:c r="A349" s="20" t="n">
        <x:v>46176</x:v>
      </x:c>
      <x:c r="B349" s="21" t="str">
        <x:v>DP-2026-027539</x:v>
      </x:c>
      <x:c r="C349" s="21" t="str">
        <x:v>ACH PAYMENT - Collins-Johnson - DP-2026-027539</x:v>
      </x:c>
      <x:c r="D349" s="21" t="str">
        <x:v>Supplier payment</x:v>
      </x:c>
      <x:c r="E349" s="18" t="n">
        <x:v>309.59</x:v>
      </x:c>
      <x:c r="F349" s="18"/>
      <x:c r="G349" s="18" t="n">
        <x:v>-309.59</x:v>
      </x:c>
      <x:c r="H349" s="18" t="n">
        <x:f>H348+G349</x:f>
        <x:v>9366784.16</x:v>
      </x:c>
    </x:row>
    <x:row r="350">
      <x:c r="A350" s="20" t="n">
        <x:v>46176</x:v>
      </x:c>
      <x:c r="B350" s="21" t="str">
        <x:v>DP-2026-027542</x:v>
      </x:c>
      <x:c r="C350" s="21" t="str">
        <x:v>ACH PAYMENT - Hernandez, Melendez and Mcdowell - DP-2026-027542</x:v>
      </x:c>
      <x:c r="D350" s="21" t="str">
        <x:v>Supplier payment</x:v>
      </x:c>
      <x:c r="E350" s="18" t="n">
        <x:v>61.6</x:v>
      </x:c>
      <x:c r="F350" s="18"/>
      <x:c r="G350" s="18" t="n">
        <x:v>-61.6</x:v>
      </x:c>
      <x:c r="H350" s="18" t="n">
        <x:f>H349+G350</x:f>
        <x:v>9366722.56</x:v>
      </x:c>
    </x:row>
    <x:row r="351">
      <x:c r="A351" s="20" t="n">
        <x:v>46176</x:v>
      </x:c>
      <x:c r="B351" s="21" t="str">
        <x:v>DP-2026-027543</x:v>
      </x:c>
      <x:c r="C351" s="21" t="str">
        <x:v>ACH PAYMENT - Powers-Daniels - DP-2026-027543</x:v>
      </x:c>
      <x:c r="D351" s="21" t="str">
        <x:v>Supplier payment</x:v>
      </x:c>
      <x:c r="E351" s="18" t="n">
        <x:v>76.08</x:v>
      </x:c>
      <x:c r="F351" s="18"/>
      <x:c r="G351" s="18" t="n">
        <x:v>-76.08</x:v>
      </x:c>
      <x:c r="H351" s="18" t="n">
        <x:f>H350+G351</x:f>
        <x:v>9366646.48</x:v>
      </x:c>
    </x:row>
    <x:row r="352">
      <x:c r="A352" s="20" t="n">
        <x:v>46176</x:v>
      </x:c>
      <x:c r="B352" s="21" t="str">
        <x:v>DP-2026-027556</x:v>
      </x:c>
      <x:c r="C352" s="21" t="str">
        <x:v>ACH PAYMENT - Hernandez, Melendez and Mcdowell - DP-2026-027556</x:v>
      </x:c>
      <x:c r="D352" s="21" t="str">
        <x:v>Supplier payment</x:v>
      </x:c>
      <x:c r="E352" s="18" t="n">
        <x:v>1104.5</x:v>
      </x:c>
      <x:c r="F352" s="18"/>
      <x:c r="G352" s="18" t="n">
        <x:v>-1104.5</x:v>
      </x:c>
      <x:c r="H352" s="18" t="n">
        <x:f>H351+G352</x:f>
        <x:v>9365541.98</x:v>
      </x:c>
    </x:row>
    <x:row r="353">
      <x:c r="A353" s="20" t="n">
        <x:v>46176</x:v>
      </x:c>
      <x:c r="B353" s="21" t="str">
        <x:v>DP-2026-027573</x:v>
      </x:c>
      <x:c r="C353" s="21" t="str">
        <x:v>ACH PAYMENT - Peters, Terry and Zimmerman - DP-2026-027573</x:v>
      </x:c>
      <x:c r="D353" s="21" t="str">
        <x:v>Supplier payment</x:v>
      </x:c>
      <x:c r="E353" s="18" t="n">
        <x:v>89.91</x:v>
      </x:c>
      <x:c r="F353" s="18"/>
      <x:c r="G353" s="18" t="n">
        <x:v>-89.91</x:v>
      </x:c>
      <x:c r="H353" s="18" t="n">
        <x:f>H352+G353</x:f>
        <x:v>9365452.07</x:v>
      </x:c>
    </x:row>
    <x:row r="354">
      <x:c r="A354" s="20" t="n">
        <x:v>46176</x:v>
      </x:c>
      <x:c r="B354" s="21" t="str">
        <x:v>DP-2026-027582</x:v>
      </x:c>
      <x:c r="C354" s="21" t="str">
        <x:v>ACH PAYMENT - Nash LLC - DP-2026-027582</x:v>
      </x:c>
      <x:c r="D354" s="21" t="str">
        <x:v>Supplier payment</x:v>
      </x:c>
      <x:c r="E354" s="18" t="n">
        <x:v>256.53</x:v>
      </x:c>
      <x:c r="F354" s="18"/>
      <x:c r="G354" s="18" t="n">
        <x:v>-256.53</x:v>
      </x:c>
      <x:c r="H354" s="18" t="n">
        <x:f>H353+G354</x:f>
        <x:v>9365195.540000001</x:v>
      </x:c>
    </x:row>
    <x:row r="355">
      <x:c r="A355" s="20" t="n">
        <x:v>46176</x:v>
      </x:c>
      <x:c r="B355" s="21" t="str">
        <x:v>DP-2026-027598</x:v>
      </x:c>
      <x:c r="C355" s="21" t="str">
        <x:v>ACH PAYMENT - Coffey Group - DP-2026-027598</x:v>
      </x:c>
      <x:c r="D355" s="21" t="str">
        <x:v>Supplier payment</x:v>
      </x:c>
      <x:c r="E355" s="18" t="n">
        <x:v>1450.17</x:v>
      </x:c>
      <x:c r="F355" s="18"/>
      <x:c r="G355" s="18" t="n">
        <x:v>-1450.17</x:v>
      </x:c>
      <x:c r="H355" s="18" t="n">
        <x:f>H354+G355</x:f>
        <x:v>9363745.370000001</x:v>
      </x:c>
    </x:row>
    <x:row r="356">
      <x:c r="A356" s="20" t="n">
        <x:v>46176</x:v>
      </x:c>
      <x:c r="B356" s="21" t="str">
        <x:v>DP-2026-027599</x:v>
      </x:c>
      <x:c r="C356" s="21" t="str">
        <x:v>ACH PAYMENT - Peters, Terry and Zimmerman - DP-2026-027599</x:v>
      </x:c>
      <x:c r="D356" s="21" t="str">
        <x:v>Supplier payment</x:v>
      </x:c>
      <x:c r="E356" s="18" t="n">
        <x:v>1452.96</x:v>
      </x:c>
      <x:c r="F356" s="18"/>
      <x:c r="G356" s="18" t="n">
        <x:v>-1452.96</x:v>
      </x:c>
      <x:c r="H356" s="18" t="n">
        <x:f>H355+G356</x:f>
        <x:v>9362292.41</x:v>
      </x:c>
    </x:row>
    <x:row r="357">
      <x:c r="A357" s="20" t="n">
        <x:v>46176</x:v>
      </x:c>
      <x:c r="B357" s="21" t="str">
        <x:v>DP-2026-027602</x:v>
      </x:c>
      <x:c r="C357" s="21" t="str">
        <x:v>ACH PAYMENT - Hester Ltd - DP-2026-027602</x:v>
      </x:c>
      <x:c r="D357" s="21" t="str">
        <x:v>Supplier payment</x:v>
      </x:c>
      <x:c r="E357" s="18" t="n">
        <x:v>766.25</x:v>
      </x:c>
      <x:c r="F357" s="18"/>
      <x:c r="G357" s="18" t="n">
        <x:v>-766.25</x:v>
      </x:c>
      <x:c r="H357" s="18" t="n">
        <x:f>H356+G357</x:f>
        <x:v>9361526.16</x:v>
      </x:c>
    </x:row>
    <x:row r="358">
      <x:c r="A358" s="20" t="n">
        <x:v>46176</x:v>
      </x:c>
      <x:c r="B358" s="21" t="str">
        <x:v>DP-2026-027603</x:v>
      </x:c>
      <x:c r="C358" s="21" t="str">
        <x:v>ACH PAYMENT - Morris, Anderson and Chang - DP-2026-027603</x:v>
      </x:c>
      <x:c r="D358" s="21" t="str">
        <x:v>Supplier payment</x:v>
      </x:c>
      <x:c r="E358" s="18" t="n">
        <x:v>182.58</x:v>
      </x:c>
      <x:c r="F358" s="18"/>
      <x:c r="G358" s="18" t="n">
        <x:v>-182.58</x:v>
      </x:c>
      <x:c r="H358" s="18" t="n">
        <x:f>H357+G358</x:f>
        <x:v>9361343.58</x:v>
      </x:c>
    </x:row>
    <x:row r="359">
      <x:c r="A359" s="20" t="n">
        <x:v>46176</x:v>
      </x:c>
      <x:c r="B359" s="21" t="str">
        <x:v>DP-2026-027604</x:v>
      </x:c>
      <x:c r="C359" s="21" t="str">
        <x:v>ACH PAYMENT - Brooks, Johnson and Olson - DP-2026-027604</x:v>
      </x:c>
      <x:c r="D359" s="21" t="str">
        <x:v>Supplier payment</x:v>
      </x:c>
      <x:c r="E359" s="18" t="n">
        <x:v>1151.65</x:v>
      </x:c>
      <x:c r="F359" s="18"/>
      <x:c r="G359" s="18" t="n">
        <x:v>-1151.65</x:v>
      </x:c>
      <x:c r="H359" s="18" t="n">
        <x:f>H358+G359</x:f>
        <x:v>9360191.93</x:v>
      </x:c>
    </x:row>
    <x:row r="360">
      <x:c r="A360" s="20" t="n">
        <x:v>46176</x:v>
      </x:c>
      <x:c r="B360" s="21" t="str">
        <x:v>DP-2026-027609</x:v>
      </x:c>
      <x:c r="C360" s="21" t="str">
        <x:v>ACH PAYMENT - Kelly-Bradshaw - DP-2026-027609</x:v>
      </x:c>
      <x:c r="D360" s="21" t="str">
        <x:v>Supplier payment</x:v>
      </x:c>
      <x:c r="E360" s="18" t="n">
        <x:v>18.22</x:v>
      </x:c>
      <x:c r="F360" s="18"/>
      <x:c r="G360" s="18" t="n">
        <x:v>-18.22</x:v>
      </x:c>
      <x:c r="H360" s="18" t="n">
        <x:f>H359+G360</x:f>
        <x:v>9360173.709999999</x:v>
      </x:c>
    </x:row>
    <x:row r="361">
      <x:c r="A361" s="20" t="n">
        <x:v>46176</x:v>
      </x:c>
      <x:c r="B361" s="21" t="str">
        <x:v>DP-2026-027618</x:v>
      </x:c>
      <x:c r="C361" s="21" t="str">
        <x:v>ACH PAYMENT - Hernandez, Melendez and Mcdowell - DP-2026-027618</x:v>
      </x:c>
      <x:c r="D361" s="21" t="str">
        <x:v>Supplier payment</x:v>
      </x:c>
      <x:c r="E361" s="18" t="n">
        <x:v>231.9</x:v>
      </x:c>
      <x:c r="F361" s="18"/>
      <x:c r="G361" s="18" t="n">
        <x:v>-231.9</x:v>
      </x:c>
      <x:c r="H361" s="18" t="n">
        <x:f>H360+G361</x:f>
        <x:v>9359941.809999999</x:v>
      </x:c>
    </x:row>
    <x:row r="362">
      <x:c r="A362" s="20" t="n">
        <x:v>46176</x:v>
      </x:c>
      <x:c r="B362" s="21" t="str">
        <x:v>DP-2026-027620</x:v>
      </x:c>
      <x:c r="C362" s="21" t="str">
        <x:v>ACH PAYMENT - Salas, Gallagher and Anderson - DP-2026-027620</x:v>
      </x:c>
      <x:c r="D362" s="21" t="str">
        <x:v>Supplier payment</x:v>
      </x:c>
      <x:c r="E362" s="18" t="n">
        <x:v>1045.96</x:v>
      </x:c>
      <x:c r="F362" s="18"/>
      <x:c r="G362" s="18" t="n">
        <x:v>-1045.96</x:v>
      </x:c>
      <x:c r="H362" s="18" t="n">
        <x:f>H361+G362</x:f>
        <x:v>9358895.849999998</x:v>
      </x:c>
    </x:row>
    <x:row r="363">
      <x:c r="A363" s="20" t="n">
        <x:v>46176</x:v>
      </x:c>
      <x:c r="B363" s="21" t="str">
        <x:v>DP-2026-027621</x:v>
      </x:c>
      <x:c r="C363" s="21" t="str">
        <x:v>ACH PAYMENT - Watts-Strickland - DP-2026-027621</x:v>
      </x:c>
      <x:c r="D363" s="21" t="str">
        <x:v>Supplier payment</x:v>
      </x:c>
      <x:c r="E363" s="18" t="n">
        <x:v>1196.95</x:v>
      </x:c>
      <x:c r="F363" s="18"/>
      <x:c r="G363" s="18" t="n">
        <x:v>-1196.95</x:v>
      </x:c>
      <x:c r="H363" s="18" t="n">
        <x:f>H362+G363</x:f>
        <x:v>9357698.899999999</x:v>
      </x:c>
    </x:row>
    <x:row r="364">
      <x:c r="A364" s="20" t="n">
        <x:v>46176</x:v>
      </x:c>
      <x:c r="B364" s="21" t="str">
        <x:v>DP-2026-027630</x:v>
      </x:c>
      <x:c r="C364" s="21" t="str">
        <x:v>WIRE TRANSFER PAYMENT - Hester Ltd - DP-2026-027630</x:v>
      </x:c>
      <x:c r="D364" s="21" t="str">
        <x:v>Supplier payment</x:v>
      </x:c>
      <x:c r="E364" s="18" t="n">
        <x:v>495.84</x:v>
      </x:c>
      <x:c r="F364" s="18"/>
      <x:c r="G364" s="18" t="n">
        <x:v>-495.84</x:v>
      </x:c>
      <x:c r="H364" s="18" t="n">
        <x:f>H363+G364</x:f>
        <x:v>9357203.059999999</x:v>
      </x:c>
    </x:row>
    <x:row r="365">
      <x:c r="A365" s="20" t="n">
        <x:v>46176</x:v>
      </x:c>
      <x:c r="B365" s="21" t="str">
        <x:v>DP-2026-027632</x:v>
      </x:c>
      <x:c r="C365" s="21" t="str">
        <x:v>ACH PAYMENT - Morris, Anderson and Chang - DP-2026-027632</x:v>
      </x:c>
      <x:c r="D365" s="21" t="str">
        <x:v>Supplier payment</x:v>
      </x:c>
      <x:c r="E365" s="18" t="n">
        <x:v>1466.21</x:v>
      </x:c>
      <x:c r="F365" s="18"/>
      <x:c r="G365" s="18" t="n">
        <x:v>-1466.21</x:v>
      </x:c>
      <x:c r="H365" s="18" t="n">
        <x:f>H364+G365</x:f>
        <x:v>9355736.849999998</x:v>
      </x:c>
    </x:row>
    <x:row r="366">
      <x:c r="A366" s="20" t="n">
        <x:v>46176</x:v>
      </x:c>
      <x:c r="B366" s="21" t="str">
        <x:v>DP-2026-027639</x:v>
      </x:c>
      <x:c r="C366" s="21" t="str">
        <x:v>ACH PAYMENT - Brooks, Johnson and Olson - DP-2026-027639</x:v>
      </x:c>
      <x:c r="D366" s="21" t="str">
        <x:v>Supplier payment</x:v>
      </x:c>
      <x:c r="E366" s="18" t="n">
        <x:v>375.65</x:v>
      </x:c>
      <x:c r="F366" s="18"/>
      <x:c r="G366" s="18" t="n">
        <x:v>-375.65</x:v>
      </x:c>
      <x:c r="H366" s="18" t="n">
        <x:f>H365+G366</x:f>
        <x:v>9355361.199999997</x:v>
      </x:c>
    </x:row>
    <x:row r="367">
      <x:c r="A367" s="20" t="n">
        <x:v>46176</x:v>
      </x:c>
      <x:c r="B367" s="21" t="str">
        <x:v>DP-2026-027643</x:v>
      </x:c>
      <x:c r="C367" s="21" t="str">
        <x:v>ACH PAYMENT - Sanford LLC - DP-2026-027643</x:v>
      </x:c>
      <x:c r="D367" s="21" t="str">
        <x:v>Supplier payment</x:v>
      </x:c>
      <x:c r="E367" s="18" t="n">
        <x:v>194.71</x:v>
      </x:c>
      <x:c r="F367" s="18"/>
      <x:c r="G367" s="18" t="n">
        <x:v>-194.71</x:v>
      </x:c>
      <x:c r="H367" s="18" t="n">
        <x:f>H366+G367</x:f>
        <x:v>9355166.489999996</x:v>
      </x:c>
    </x:row>
    <x:row r="368">
      <x:c r="A368" s="20" t="n">
        <x:v>46176</x:v>
      </x:c>
      <x:c r="B368" s="21" t="str">
        <x:v>DP-2026-027645</x:v>
      </x:c>
      <x:c r="C368" s="21" t="str">
        <x:v>ACH PAYMENT - Simmons, Tucker and Huang - DP-2026-027645</x:v>
      </x:c>
      <x:c r="D368" s="21" t="str">
        <x:v>Supplier payment</x:v>
      </x:c>
      <x:c r="E368" s="18" t="n">
        <x:v>1235.59</x:v>
      </x:c>
      <x:c r="F368" s="18"/>
      <x:c r="G368" s="18" t="n">
        <x:v>-1235.59</x:v>
      </x:c>
      <x:c r="H368" s="18" t="n">
        <x:f>H367+G368</x:f>
        <x:v>9353930.899999997</x:v>
      </x:c>
    </x:row>
    <x:row r="369">
      <x:c r="A369" s="20" t="n">
        <x:v>46176</x:v>
      </x:c>
      <x:c r="B369" s="21" t="str">
        <x:v>DP-2026-027648</x:v>
      </x:c>
      <x:c r="C369" s="21" t="str">
        <x:v>ACH PAYMENT - Brooks, Johnson and Olson - DP-2026-027648</x:v>
      </x:c>
      <x:c r="D369" s="21" t="str">
        <x:v>Supplier payment</x:v>
      </x:c>
      <x:c r="E369" s="18" t="n">
        <x:v>763.09</x:v>
      </x:c>
      <x:c r="F369" s="18"/>
      <x:c r="G369" s="18" t="n">
        <x:v>-763.09</x:v>
      </x:c>
      <x:c r="H369" s="18" t="n">
        <x:f>H368+G369</x:f>
        <x:v>9353167.809999997</x:v>
      </x:c>
    </x:row>
    <x:row r="370">
      <x:c r="A370" s="20" t="n">
        <x:v>46176</x:v>
      </x:c>
      <x:c r="B370" s="21" t="str">
        <x:v>DP-2026-027649</x:v>
      </x:c>
      <x:c r="C370" s="21" t="str">
        <x:v>ACH PAYMENT - Martinez LLC - DP-2026-027649</x:v>
      </x:c>
      <x:c r="D370" s="21" t="str">
        <x:v>Supplier payment</x:v>
      </x:c>
      <x:c r="E370" s="18" t="n">
        <x:v>651.73</x:v>
      </x:c>
      <x:c r="F370" s="18"/>
      <x:c r="G370" s="18" t="n">
        <x:v>-651.73</x:v>
      </x:c>
      <x:c r="H370" s="18" t="n">
        <x:f>H369+G370</x:f>
        <x:v>9352516.079999996</x:v>
      </x:c>
    </x:row>
    <x:row r="371">
      <x:c r="A371" s="20" t="n">
        <x:v>46176</x:v>
      </x:c>
      <x:c r="B371" s="21" t="str">
        <x:v>DP-2026-027652</x:v>
      </x:c>
      <x:c r="C371" s="21" t="str">
        <x:v>ACH PAYMENT - Anderson-Noble - DP-2026-027652</x:v>
      </x:c>
      <x:c r="D371" s="21" t="str">
        <x:v>Supplier payment</x:v>
      </x:c>
      <x:c r="E371" s="18" t="n">
        <x:v>303.87</x:v>
      </x:c>
      <x:c r="F371" s="18"/>
      <x:c r="G371" s="18" t="n">
        <x:v>-303.87</x:v>
      </x:c>
      <x:c r="H371" s="18" t="n">
        <x:f>H370+G371</x:f>
        <x:v>9352212.209999997</x:v>
      </x:c>
    </x:row>
    <x:row r="372">
      <x:c r="A372" s="20" t="n">
        <x:v>46176</x:v>
      </x:c>
      <x:c r="B372" s="21" t="str">
        <x:v>DP-2026-027664</x:v>
      </x:c>
      <x:c r="C372" s="21" t="str">
        <x:v>WIRE TRANSFER PAYMENT - Powell Inc - DP-2026-027664</x:v>
      </x:c>
      <x:c r="D372" s="21" t="str">
        <x:v>Supplier payment</x:v>
      </x:c>
      <x:c r="E372" s="18" t="n">
        <x:v>1487.27</x:v>
      </x:c>
      <x:c r="F372" s="18"/>
      <x:c r="G372" s="18" t="n">
        <x:v>-1487.27</x:v>
      </x:c>
      <x:c r="H372" s="18" t="n">
        <x:f>H371+G372</x:f>
        <x:v>9350724.939999998</x:v>
      </x:c>
    </x:row>
    <x:row r="373">
      <x:c r="A373" s="20" t="n">
        <x:v>46176</x:v>
      </x:c>
      <x:c r="B373" s="21" t="str">
        <x:v>DP-2026-027665</x:v>
      </x:c>
      <x:c r="C373" s="21" t="str">
        <x:v>ACH PAYMENT - Anderson-Noble - DP-2026-027665</x:v>
      </x:c>
      <x:c r="D373" s="21" t="str">
        <x:v>Supplier payment</x:v>
      </x:c>
      <x:c r="E373" s="18" t="n">
        <x:v>868.01</x:v>
      </x:c>
      <x:c r="F373" s="18"/>
      <x:c r="G373" s="18" t="n">
        <x:v>-868.01</x:v>
      </x:c>
      <x:c r="H373" s="18" t="n">
        <x:f>H372+G373</x:f>
        <x:v>9349856.929999998</x:v>
      </x:c>
    </x:row>
    <x:row r="374">
      <x:c r="A374" s="20" t="n">
        <x:v>46176</x:v>
      </x:c>
      <x:c r="B374" s="21" t="str">
        <x:v>DP-2026-027671</x:v>
      </x:c>
      <x:c r="C374" s="21" t="str">
        <x:v>ACH PAYMENT - Thomas LLC - DP-2026-027671</x:v>
      </x:c>
      <x:c r="D374" s="21" t="str">
        <x:v>Supplier payment</x:v>
      </x:c>
      <x:c r="E374" s="18" t="n">
        <x:v>145.92</x:v>
      </x:c>
      <x:c r="F374" s="18"/>
      <x:c r="G374" s="18" t="n">
        <x:v>-145.92</x:v>
      </x:c>
      <x:c r="H374" s="18" t="n">
        <x:f>H373+G374</x:f>
        <x:v>9349711.009999998</x:v>
      </x:c>
    </x:row>
    <x:row r="375">
      <x:c r="A375" s="20" t="n">
        <x:v>46176</x:v>
      </x:c>
      <x:c r="B375" s="21" t="str">
        <x:v>DP-2026-027674</x:v>
      </x:c>
      <x:c r="C375" s="21" t="str">
        <x:v>ACH PAYMENT - Lyons-Sheppard - DP-2026-027674</x:v>
      </x:c>
      <x:c r="D375" s="21" t="str">
        <x:v>Supplier payment</x:v>
      </x:c>
      <x:c r="E375" s="18" t="n">
        <x:v>899.39</x:v>
      </x:c>
      <x:c r="F375" s="18"/>
      <x:c r="G375" s="18" t="n">
        <x:v>-899.39</x:v>
      </x:c>
      <x:c r="H375" s="18" t="n">
        <x:f>H374+G375</x:f>
        <x:v>9348811.619999997</x:v>
      </x:c>
    </x:row>
    <x:row r="376">
      <x:c r="A376" s="20" t="n">
        <x:v>46176</x:v>
      </x:c>
      <x:c r="B376" s="21" t="str">
        <x:v>DP-2026-027676</x:v>
      </x:c>
      <x:c r="C376" s="21" t="str">
        <x:v>ACH PAYMENT - House-Hodges - DP-2026-027676</x:v>
      </x:c>
      <x:c r="D376" s="21" t="str">
        <x:v>Supplier payment</x:v>
      </x:c>
      <x:c r="E376" s="18" t="n">
        <x:v>5624.42</x:v>
      </x:c>
      <x:c r="F376" s="18"/>
      <x:c r="G376" s="18" t="n">
        <x:v>-5624.42</x:v>
      </x:c>
      <x:c r="H376" s="18" t="n">
        <x:f>H375+G376</x:f>
        <x:v>9343187.199999997</x:v>
      </x:c>
    </x:row>
    <x:row r="377">
      <x:c r="A377" s="20" t="n">
        <x:v>46176</x:v>
      </x:c>
      <x:c r="B377" s="21" t="str">
        <x:v>DP-2026-027678</x:v>
      </x:c>
      <x:c r="C377" s="21" t="str">
        <x:v>ACH PAYMENT - Berger, Stanley and Cooper - DP-2026-027678</x:v>
      </x:c>
      <x:c r="D377" s="21" t="str">
        <x:v>Supplier payment</x:v>
      </x:c>
      <x:c r="E377" s="18" t="n">
        <x:v>479.47</x:v>
      </x:c>
      <x:c r="F377" s="18"/>
      <x:c r="G377" s="18" t="n">
        <x:v>-479.47</x:v>
      </x:c>
      <x:c r="H377" s="18" t="n">
        <x:f>H376+G377</x:f>
        <x:v>9342707.729999997</x:v>
      </x:c>
    </x:row>
    <x:row r="378">
      <x:c r="A378" s="20" t="n">
        <x:v>46176</x:v>
      </x:c>
      <x:c r="B378" s="21" t="str">
        <x:v>DP-2026-027679</x:v>
      </x:c>
      <x:c r="C378" s="21" t="str">
        <x:v>ACH PAYMENT - Dennis PLC - DP-2026-027679</x:v>
      </x:c>
      <x:c r="D378" s="21" t="str">
        <x:v>Supplier payment</x:v>
      </x:c>
      <x:c r="E378" s="18" t="n">
        <x:v>38.19</x:v>
      </x:c>
      <x:c r="F378" s="18"/>
      <x:c r="G378" s="18" t="n">
        <x:v>-38.19</x:v>
      </x:c>
      <x:c r="H378" s="18" t="n">
        <x:f>H377+G378</x:f>
        <x:v>9342669.539999997</x:v>
      </x:c>
    </x:row>
    <x:row r="379">
      <x:c r="A379" s="20" t="n">
        <x:v>46176</x:v>
      </x:c>
      <x:c r="B379" s="21" t="str">
        <x:v>DP-2026-027681</x:v>
      </x:c>
      <x:c r="C379" s="21" t="str">
        <x:v>ACH PAYMENT - Rodriguez, Myers and Grimes - DP-2026-027681</x:v>
      </x:c>
      <x:c r="D379" s="21" t="str">
        <x:v>Supplier payment</x:v>
      </x:c>
      <x:c r="E379" s="18" t="n">
        <x:v>58.64</x:v>
      </x:c>
      <x:c r="F379" s="18"/>
      <x:c r="G379" s="18" t="n">
        <x:v>-58.64</x:v>
      </x:c>
      <x:c r="H379" s="18" t="n">
        <x:f>H378+G379</x:f>
        <x:v>9342610.899999997</x:v>
      </x:c>
    </x:row>
    <x:row r="380">
      <x:c r="A380" s="20" t="n">
        <x:v>46176</x:v>
      </x:c>
      <x:c r="B380" s="21" t="str">
        <x:v>DP-2026-027682</x:v>
      </x:c>
      <x:c r="C380" s="21" t="str">
        <x:v>ACH PAYMENT - Martinez LLC - DP-2026-027682</x:v>
      </x:c>
      <x:c r="D380" s="21" t="str">
        <x:v>Supplier payment</x:v>
      </x:c>
      <x:c r="E380" s="18" t="n">
        <x:v>137.09</x:v>
      </x:c>
      <x:c r="F380" s="18"/>
      <x:c r="G380" s="18" t="n">
        <x:v>-137.09</x:v>
      </x:c>
      <x:c r="H380" s="18" t="n">
        <x:f>H379+G380</x:f>
        <x:v>9342473.809999997</x:v>
      </x:c>
    </x:row>
    <x:row r="381">
      <x:c r="A381" s="20" t="n">
        <x:v>46176</x:v>
      </x:c>
      <x:c r="B381" s="21" t="str">
        <x:v>DP-2026-027684</x:v>
      </x:c>
      <x:c r="C381" s="21" t="str">
        <x:v>ACH PAYMENT - Lindsey and Sons - DP-2026-027684</x:v>
      </x:c>
      <x:c r="D381" s="21" t="str">
        <x:v>Supplier payment</x:v>
      </x:c>
      <x:c r="E381" s="18" t="n">
        <x:v>157.56</x:v>
      </x:c>
      <x:c r="F381" s="18"/>
      <x:c r="G381" s="18" t="n">
        <x:v>-157.56</x:v>
      </x:c>
      <x:c r="H381" s="18" t="n">
        <x:f>H380+G381</x:f>
        <x:v>9342316.249999996</x:v>
      </x:c>
    </x:row>
    <x:row r="382">
      <x:c r="A382" s="20" t="n">
        <x:v>46176</x:v>
      </x:c>
      <x:c r="B382" s="21" t="str">
        <x:v>DP-2026-027689</x:v>
      </x:c>
      <x:c r="C382" s="21" t="str">
        <x:v>ACH PAYMENT - Collins-Johnson - DP-2026-027689</x:v>
      </x:c>
      <x:c r="D382" s="21" t="str">
        <x:v>Supplier payment</x:v>
      </x:c>
      <x:c r="E382" s="18" t="n">
        <x:v>634.54</x:v>
      </x:c>
      <x:c r="F382" s="18"/>
      <x:c r="G382" s="18" t="n">
        <x:v>-634.54</x:v>
      </x:c>
      <x:c r="H382" s="18" t="n">
        <x:f>H381+G382</x:f>
        <x:v>9341681.709999997</x:v>
      </x:c>
    </x:row>
    <x:row r="383">
      <x:c r="A383" s="20" t="n">
        <x:v>46176</x:v>
      </x:c>
      <x:c r="B383" s="21" t="str">
        <x:v>DP-2026-027698</x:v>
      </x:c>
      <x:c r="C383" s="21" t="str">
        <x:v>ACH PAYMENT - Velasquez-Baxter - DP-2026-027698</x:v>
      </x:c>
      <x:c r="D383" s="21" t="str">
        <x:v>Supplier payment</x:v>
      </x:c>
      <x:c r="E383" s="18" t="n">
        <x:v>497.24</x:v>
      </x:c>
      <x:c r="F383" s="18"/>
      <x:c r="G383" s="18" t="n">
        <x:v>-497.24</x:v>
      </x:c>
      <x:c r="H383" s="18" t="n">
        <x:f>H382+G383</x:f>
        <x:v>9341184.469999997</x:v>
      </x:c>
    </x:row>
    <x:row r="384">
      <x:c r="A384" s="20" t="n">
        <x:v>46176</x:v>
      </x:c>
      <x:c r="B384" s="21" t="str">
        <x:v>DP-2026-027707</x:v>
      </x:c>
      <x:c r="C384" s="21" t="str">
        <x:v>ACH PAYMENT - Hernandez, Melendez and Mcdowell - DP-2026-027707</x:v>
      </x:c>
      <x:c r="D384" s="21" t="str">
        <x:v>Supplier payment</x:v>
      </x:c>
      <x:c r="E384" s="18" t="n">
        <x:v>20.5</x:v>
      </x:c>
      <x:c r="F384" s="18"/>
      <x:c r="G384" s="18" t="n">
        <x:v>-20.5</x:v>
      </x:c>
      <x:c r="H384" s="18" t="n">
        <x:f>H383+G384</x:f>
        <x:v>9341163.969999997</x:v>
      </x:c>
    </x:row>
    <x:row r="385">
      <x:c r="A385" s="20" t="n">
        <x:v>46176</x:v>
      </x:c>
      <x:c r="B385" s="21" t="str">
        <x:v>DP-2026-027711</x:v>
      </x:c>
      <x:c r="C385" s="21" t="str">
        <x:v>ACH PAYMENT - Rodriguez, Myers and Grimes - DP-2026-027711</x:v>
      </x:c>
      <x:c r="D385" s="21" t="str">
        <x:v>Supplier payment</x:v>
      </x:c>
      <x:c r="E385" s="18" t="n">
        <x:v>941.43</x:v>
      </x:c>
      <x:c r="F385" s="18"/>
      <x:c r="G385" s="18" t="n">
        <x:v>-941.43</x:v>
      </x:c>
      <x:c r="H385" s="18" t="n">
        <x:f>H384+G385</x:f>
        <x:v>9340222.539999997</x:v>
      </x:c>
    </x:row>
    <x:row r="386">
      <x:c r="A386" s="20" t="n">
        <x:v>46176</x:v>
      </x:c>
      <x:c r="B386" s="21" t="str">
        <x:v>DP-2026-027713</x:v>
      </x:c>
      <x:c r="C386" s="21" t="str">
        <x:v>ACH PAYMENT - Lindsey and Sons - DP-2026-027713</x:v>
      </x:c>
      <x:c r="D386" s="21" t="str">
        <x:v>Supplier payment</x:v>
      </x:c>
      <x:c r="E386" s="18" t="n">
        <x:v>704.64</x:v>
      </x:c>
      <x:c r="F386" s="18"/>
      <x:c r="G386" s="18" t="n">
        <x:v>-704.64</x:v>
      </x:c>
      <x:c r="H386" s="18" t="n">
        <x:f>H385+G386</x:f>
        <x:v>9339517.899999997</x:v>
      </x:c>
    </x:row>
    <x:row r="387">
      <x:c r="A387" s="20" t="n">
        <x:v>46176</x:v>
      </x:c>
      <x:c r="B387" s="21" t="str">
        <x:v>DP-2026-027717</x:v>
      </x:c>
      <x:c r="C387" s="21" t="str">
        <x:v>ACH PAYMENT - Boyd and Sons - DP-2026-027717</x:v>
      </x:c>
      <x:c r="D387" s="21" t="str">
        <x:v>Supplier payment</x:v>
      </x:c>
      <x:c r="E387" s="18" t="n">
        <x:v>457.71</x:v>
      </x:c>
      <x:c r="F387" s="18"/>
      <x:c r="G387" s="18" t="n">
        <x:v>-457.71</x:v>
      </x:c>
      <x:c r="H387" s="18" t="n">
        <x:f>H386+G387</x:f>
        <x:v>9339060.189999996</x:v>
      </x:c>
    </x:row>
    <x:row r="388">
      <x:c r="A388" s="20" t="n">
        <x:v>46176</x:v>
      </x:c>
      <x:c r="B388" s="21" t="str">
        <x:v>DP-2026-027724</x:v>
      </x:c>
      <x:c r="C388" s="21" t="str">
        <x:v>ACH PAYMENT - Morrison-Smith - DP-2026-027724</x:v>
      </x:c>
      <x:c r="D388" s="21" t="str">
        <x:v>Supplier payment</x:v>
      </x:c>
      <x:c r="E388" s="18" t="n">
        <x:v>507.1</x:v>
      </x:c>
      <x:c r="F388" s="18"/>
      <x:c r="G388" s="18" t="n">
        <x:v>-507.1</x:v>
      </x:c>
      <x:c r="H388" s="18" t="n">
        <x:f>H387+G388</x:f>
        <x:v>9338553.089999996</x:v>
      </x:c>
    </x:row>
    <x:row r="389">
      <x:c r="A389" s="20" t="n">
        <x:v>46176</x:v>
      </x:c>
      <x:c r="B389" s="21" t="str">
        <x:v>DP-2026-027734</x:v>
      </x:c>
      <x:c r="C389" s="21" t="str">
        <x:v>ACH PAYMENT - Thomas LLC - DP-2026-027734</x:v>
      </x:c>
      <x:c r="D389" s="21" t="str">
        <x:v>Supplier payment</x:v>
      </x:c>
      <x:c r="E389" s="18" t="n">
        <x:v>583.47</x:v>
      </x:c>
      <x:c r="F389" s="18"/>
      <x:c r="G389" s="18" t="n">
        <x:v>-583.47</x:v>
      </x:c>
      <x:c r="H389" s="18" t="n">
        <x:f>H388+G389</x:f>
        <x:v>9337969.619999995</x:v>
      </x:c>
    </x:row>
    <x:row r="390">
      <x:c r="A390" s="20" t="n">
        <x:v>46176</x:v>
      </x:c>
      <x:c r="B390" s="21" t="str">
        <x:v>DP-2026-027736</x:v>
      </x:c>
      <x:c r="C390" s="21" t="str">
        <x:v>ACH PAYMENT - Watts-Strickland - DP-2026-027736</x:v>
      </x:c>
      <x:c r="D390" s="21" t="str">
        <x:v>Supplier payment</x:v>
      </x:c>
      <x:c r="E390" s="18" t="n">
        <x:v>904.99</x:v>
      </x:c>
      <x:c r="F390" s="18"/>
      <x:c r="G390" s="18" t="n">
        <x:v>-904.99</x:v>
      </x:c>
      <x:c r="H390" s="18" t="n">
        <x:f>H389+G390</x:f>
        <x:v>9337064.629999995</x:v>
      </x:c>
    </x:row>
    <x:row r="391">
      <x:c r="A391" s="20" t="n">
        <x:v>46176</x:v>
      </x:c>
      <x:c r="B391" s="21" t="str">
        <x:v>DP-2026-027738</x:v>
      </x:c>
      <x:c r="C391" s="21" t="str">
        <x:v>ACH PAYMENT - Evans PLC - DP-2026-027738</x:v>
      </x:c>
      <x:c r="D391" s="21" t="str">
        <x:v>Supplier payment</x:v>
      </x:c>
      <x:c r="E391" s="18" t="n">
        <x:v>1639.75</x:v>
      </x:c>
      <x:c r="F391" s="18"/>
      <x:c r="G391" s="18" t="n">
        <x:v>-1639.75</x:v>
      </x:c>
      <x:c r="H391" s="18" t="n">
        <x:f>H390+G391</x:f>
        <x:v>9335424.879999995</x:v>
      </x:c>
    </x:row>
    <x:row r="392">
      <x:c r="A392" s="20" t="n">
        <x:v>46176</x:v>
      </x:c>
      <x:c r="B392" s="21" t="str">
        <x:v>DP-2026-027748</x:v>
      </x:c>
      <x:c r="C392" s="21" t="str">
        <x:v>ACH PAYMENT - Colon LLC - DP-2026-027748</x:v>
      </x:c>
      <x:c r="D392" s="21" t="str">
        <x:v>Supplier payment</x:v>
      </x:c>
      <x:c r="E392" s="18" t="n">
        <x:v>953.79</x:v>
      </x:c>
      <x:c r="F392" s="18"/>
      <x:c r="G392" s="18" t="n">
        <x:v>-953.79</x:v>
      </x:c>
      <x:c r="H392" s="18" t="n">
        <x:f>H391+G392</x:f>
        <x:v>9334471.089999996</x:v>
      </x:c>
    </x:row>
    <x:row r="393">
      <x:c r="A393" s="20" t="n">
        <x:v>46176</x:v>
      </x:c>
      <x:c r="B393" s="21" t="str">
        <x:v>DP-2026-027755</x:v>
      </x:c>
      <x:c r="C393" s="21" t="str">
        <x:v>ACH PAYMENT - Robinson, Yang and Mckay - DP-2026-027755</x:v>
      </x:c>
      <x:c r="D393" s="21" t="str">
        <x:v>Supplier payment</x:v>
      </x:c>
      <x:c r="E393" s="18" t="n">
        <x:v>197.22</x:v>
      </x:c>
      <x:c r="F393" s="18"/>
      <x:c r="G393" s="18" t="n">
        <x:v>-197.22</x:v>
      </x:c>
      <x:c r="H393" s="18" t="n">
        <x:f>H392+G393</x:f>
        <x:v>9334273.869999995</x:v>
      </x:c>
    </x:row>
    <x:row r="394">
      <x:c r="A394" s="20" t="n">
        <x:v>46176</x:v>
      </x:c>
      <x:c r="B394" s="21" t="str">
        <x:v>DP-2026-027765</x:v>
      </x:c>
      <x:c r="C394" s="21" t="str">
        <x:v>ACH PAYMENT - Coffey, Gross and Phelps - DP-2026-027765</x:v>
      </x:c>
      <x:c r="D394" s="21" t="str">
        <x:v>Supplier payment</x:v>
      </x:c>
      <x:c r="E394" s="18" t="n">
        <x:v>1154.22</x:v>
      </x:c>
      <x:c r="F394" s="18"/>
      <x:c r="G394" s="18" t="n">
        <x:v>-1154.22</x:v>
      </x:c>
      <x:c r="H394" s="18" t="n">
        <x:f>H393+G394</x:f>
        <x:v>9333119.649999995</x:v>
      </x:c>
    </x:row>
    <x:row r="395">
      <x:c r="A395" s="20" t="n">
        <x:v>46176</x:v>
      </x:c>
      <x:c r="B395" s="21" t="str">
        <x:v>DP-2026-027766</x:v>
      </x:c>
      <x:c r="C395" s="21" t="str">
        <x:v>ACH PAYMENT - Gardner-Shelton - DP-2026-027766</x:v>
      </x:c>
      <x:c r="D395" s="21" t="str">
        <x:v>Supplier payment</x:v>
      </x:c>
      <x:c r="E395" s="18" t="n">
        <x:v>807.74</x:v>
      </x:c>
      <x:c r="F395" s="18"/>
      <x:c r="G395" s="18" t="n">
        <x:v>-807.74</x:v>
      </x:c>
      <x:c r="H395" s="18" t="n">
        <x:f>H394+G395</x:f>
        <x:v>9332311.909999995</x:v>
      </x:c>
    </x:row>
    <x:row r="396">
      <x:c r="A396" s="20" t="n">
        <x:v>46176</x:v>
      </x:c>
      <x:c r="B396" s="21" t="str">
        <x:v>DP-2026-027768</x:v>
      </x:c>
      <x:c r="C396" s="21" t="str">
        <x:v>ACH PAYMENT - Watts-Strickland - DP-2026-027768</x:v>
      </x:c>
      <x:c r="D396" s="21" t="str">
        <x:v>Supplier payment</x:v>
      </x:c>
      <x:c r="E396" s="18" t="n">
        <x:v>94.21</x:v>
      </x:c>
      <x:c r="F396" s="18"/>
      <x:c r="G396" s="18" t="n">
        <x:v>-94.21</x:v>
      </x:c>
      <x:c r="H396" s="18" t="n">
        <x:f>H395+G396</x:f>
        <x:v>9332217.699999994</x:v>
      </x:c>
    </x:row>
    <x:row r="397">
      <x:c r="A397" s="20" t="n">
        <x:v>46176</x:v>
      </x:c>
      <x:c r="B397" s="21" t="str">
        <x:v>DP-2026-027784</x:v>
      </x:c>
      <x:c r="C397" s="21" t="str">
        <x:v>ACH PAYMENT - Diaz Group - DP-2026-027784</x:v>
      </x:c>
      <x:c r="D397" s="21" t="str">
        <x:v>Supplier payment</x:v>
      </x:c>
      <x:c r="E397" s="18" t="n">
        <x:v>251.08</x:v>
      </x:c>
      <x:c r="F397" s="18"/>
      <x:c r="G397" s="18" t="n">
        <x:v>-251.08</x:v>
      </x:c>
      <x:c r="H397" s="18" t="n">
        <x:f>H396+G397</x:f>
        <x:v>9331966.619999994</x:v>
      </x:c>
    </x:row>
    <x:row r="398">
      <x:c r="A398" s="20" t="n">
        <x:v>46176</x:v>
      </x:c>
      <x:c r="B398" s="21" t="str">
        <x:v>DP-2026-027787</x:v>
      </x:c>
      <x:c r="C398" s="21" t="str">
        <x:v>ACH PAYMENT - Collins-Johnson - DP-2026-027787</x:v>
      </x:c>
      <x:c r="D398" s="21" t="str">
        <x:v>Supplier payment</x:v>
      </x:c>
      <x:c r="E398" s="18" t="n">
        <x:v>211.53</x:v>
      </x:c>
      <x:c r="F398" s="18"/>
      <x:c r="G398" s="18" t="n">
        <x:v>-211.53</x:v>
      </x:c>
      <x:c r="H398" s="18" t="n">
        <x:f>H397+G398</x:f>
        <x:v>9331755.089999994</x:v>
      </x:c>
    </x:row>
    <x:row r="399">
      <x:c r="A399" s="20" t="n">
        <x:v>46176</x:v>
      </x:c>
      <x:c r="B399" s="21" t="str">
        <x:v>DP-2026-027792</x:v>
      </x:c>
      <x:c r="C399" s="21" t="str">
        <x:v>ACH PAYMENT - Diaz Group - DP-2026-027792</x:v>
      </x:c>
      <x:c r="D399" s="21" t="str">
        <x:v>Supplier payment</x:v>
      </x:c>
      <x:c r="E399" s="18" t="n">
        <x:v>702.18</x:v>
      </x:c>
      <x:c r="F399" s="18"/>
      <x:c r="G399" s="18" t="n">
        <x:v>-702.18</x:v>
      </x:c>
      <x:c r="H399" s="18" t="n">
        <x:f>H398+G399</x:f>
        <x:v>9331052.909999995</x:v>
      </x:c>
    </x:row>
    <x:row r="400">
      <x:c r="A400" s="20" t="n">
        <x:v>46176</x:v>
      </x:c>
      <x:c r="B400" s="21" t="str">
        <x:v>DP-2026-027963</x:v>
      </x:c>
      <x:c r="C400" s="21" t="str">
        <x:v>ACH PAYMENT - Rodriguez, Goodman and Lee - DP-2026-027963</x:v>
      </x:c>
      <x:c r="D400" s="21" t="str">
        <x:v>Supplier payment</x:v>
      </x:c>
      <x:c r="E400" s="18" t="n">
        <x:v>903.04</x:v>
      </x:c>
      <x:c r="F400" s="18"/>
      <x:c r="G400" s="18" t="n">
        <x:v>-903.04</x:v>
      </x:c>
      <x:c r="H400" s="18" t="n">
        <x:f>H399+G400</x:f>
        <x:v>9330149.869999995</x:v>
      </x:c>
    </x:row>
    <x:row r="401">
      <x:c r="A401" s="20" t="n">
        <x:v>46176</x:v>
      </x:c>
      <x:c r="B401" s="21" t="str">
        <x:v>DP-2026-027969</x:v>
      </x:c>
      <x:c r="C401" s="21" t="str">
        <x:v>ACH PAYMENT - Kelly-Bradshaw - DP-2026-027969</x:v>
      </x:c>
      <x:c r="D401" s="21" t="str">
        <x:v>Supplier payment</x:v>
      </x:c>
      <x:c r="E401" s="18" t="n">
        <x:v>206.53</x:v>
      </x:c>
      <x:c r="F401" s="18"/>
      <x:c r="G401" s="18" t="n">
        <x:v>-206.53</x:v>
      </x:c>
      <x:c r="H401" s="18" t="n">
        <x:f>H400+G401</x:f>
        <x:v>9329943.339999996</x:v>
      </x:c>
    </x:row>
    <x:row r="402">
      <x:c r="A402" s="20" t="n">
        <x:v>46176</x:v>
      </x:c>
      <x:c r="B402" s="21" t="str">
        <x:v>DP-2026-027996</x:v>
      </x:c>
      <x:c r="C402" s="21" t="str">
        <x:v>ACH PAYMENT - Perez-Byrd - DP-2026-027996</x:v>
      </x:c>
      <x:c r="D402" s="21" t="str">
        <x:v>Supplier payment</x:v>
      </x:c>
      <x:c r="E402" s="18" t="n">
        <x:v>274.04</x:v>
      </x:c>
      <x:c r="F402" s="18"/>
      <x:c r="G402" s="18" t="n">
        <x:v>-274.04</x:v>
      </x:c>
      <x:c r="H402" s="18" t="n">
        <x:f>H401+G402</x:f>
        <x:v>9329669.299999997</x:v>
      </x:c>
    </x:row>
    <x:row r="403">
      <x:c r="A403" s="20" t="n">
        <x:v>46176</x:v>
      </x:c>
      <x:c r="B403" s="21" t="str">
        <x:v>DP-2026-028041</x:v>
      </x:c>
      <x:c r="C403" s="21" t="str">
        <x:v>ACH PAYMENT - Weeks Group - DP-2026-028041</x:v>
      </x:c>
      <x:c r="D403" s="21" t="str">
        <x:v>Supplier payment</x:v>
      </x:c>
      <x:c r="E403" s="18" t="n">
        <x:v>573.96</x:v>
      </x:c>
      <x:c r="F403" s="18"/>
      <x:c r="G403" s="18" t="n">
        <x:v>-573.96</x:v>
      </x:c>
      <x:c r="H403" s="18" t="n">
        <x:f>H402+G403</x:f>
        <x:v>9329095.339999996</x:v>
      </x:c>
    </x:row>
    <x:row r="404">
      <x:c r="A404" s="20" t="n">
        <x:v>46176</x:v>
      </x:c>
      <x:c r="B404" s="21" t="str">
        <x:v>JE-2026-000105</x:v>
      </x:c>
      <x:c r="C404" s="21" t="str">
        <x:v>PRINCIPAL PAYMENT FOR ASSEMBLY AUTOMATION CELL ADDITION</x:v>
      </x:c>
      <x:c r="D404" s="21" t="str">
        <x:v>Journal entry</x:v>
      </x:c>
      <x:c r="E404" s="18" t="n">
        <x:v>7414.75</x:v>
      </x:c>
      <x:c r="F404" s="18"/>
      <x:c r="G404" s="18" t="n">
        <x:v>-7414.75</x:v>
      </x:c>
      <x:c r="H404" s="18" t="n">
        <x:f>H403+G404</x:f>
        <x:v>9321680.589999996</x:v>
      </x:c>
    </x:row>
    <x:row r="405">
      <x:c r="A405" s="20" t="n">
        <x:v>46176</x:v>
      </x:c>
      <x:c r="B405" s="21" t="str">
        <x:v>JE-2026-000108</x:v>
      </x:c>
      <x:c r="C405" s="21" t="str">
        <x:v>INTEREST PAYMENT FOR FINISHING BOOTH UPGRADE AND AIR HANDLING RETROFIT</x:v>
      </x:c>
      <x:c r="D405" s="21" t="str">
        <x:v>Journal entry</x:v>
      </x:c>
      <x:c r="E405" s="18" t="n">
        <x:v>1407.92</x:v>
      </x:c>
      <x:c r="F405" s="18"/>
      <x:c r="G405" s="18" t="n">
        <x:v>-1407.92</x:v>
      </x:c>
      <x:c r="H405" s="18" t="n">
        <x:f>H404+G405</x:f>
        <x:v>9320272.669999996</x:v>
      </x:c>
    </x:row>
    <x:row r="406">
      <x:c r="A406" s="20" t="n">
        <x:v>46176</x:v>
      </x:c>
      <x:c r="B406" s="21" t="str">
        <x:v>JE-2026-000109</x:v>
      </x:c>
      <x:c r="C406" s="21" t="str">
        <x:v>OFFICE RENT FOR 2026-06</x:v>
      </x:c>
      <x:c r="D406" s="21" t="str">
        <x:v>Journal entry</x:v>
      </x:c>
      <x:c r="E406" s="18" t="n">
        <x:v>17899.53</x:v>
      </x:c>
      <x:c r="F406" s="18"/>
      <x:c r="G406" s="18" t="n">
        <x:v>-17899.53</x:v>
      </x:c>
      <x:c r="H406" s="18" t="n">
        <x:f>H405+G406</x:f>
        <x:v>9302373.139999997</x:v>
      </x:c>
    </x:row>
    <x:row r="407">
      <x:c r="A407" s="20" t="n">
        <x:v>46177</x:v>
      </x:c>
      <x:c r="B407" s="21" t="str">
        <x:v>CHK0025587</x:v>
      </x:c>
      <x:c r="C407" s="21" t="str">
        <x:v>CHECK PAYMENT - Powers-Daniels - DP-2026-025587</x:v>
      </x:c>
      <x:c r="D407" s="21" t="str">
        <x:v>Supplier payment</x:v>
      </x:c>
      <x:c r="E407" s="18" t="n">
        <x:v>542.07</x:v>
      </x:c>
      <x:c r="F407" s="18"/>
      <x:c r="G407" s="18" t="n">
        <x:v>-542.07</x:v>
      </x:c>
      <x:c r="H407" s="18" t="n">
        <x:f>H406+G407</x:f>
        <x:v>9301831.069999997</x:v>
      </x:c>
    </x:row>
    <x:row r="408">
      <x:c r="A408" s="20" t="n">
        <x:v>46177</x:v>
      </x:c>
      <x:c r="B408" s="21" t="str">
        <x:v>CHK0025592</x:v>
      </x:c>
      <x:c r="C408" s="21" t="str">
        <x:v>CHECK PAYMENT - Harris and Sons - DP-2026-025592</x:v>
      </x:c>
      <x:c r="D408" s="21" t="str">
        <x:v>Supplier payment</x:v>
      </x:c>
      <x:c r="E408" s="18" t="n">
        <x:v>1005.62</x:v>
      </x:c>
      <x:c r="F408" s="18"/>
      <x:c r="G408" s="18" t="n">
        <x:v>-1005.62</x:v>
      </x:c>
      <x:c r="H408" s="18" t="n">
        <x:f>H407+G408</x:f>
        <x:v>9300825.449999997</x:v>
      </x:c>
    </x:row>
    <x:row r="409">
      <x:c r="A409" s="20" t="n">
        <x:v>46177</x:v>
      </x:c>
      <x:c r="B409" s="21" t="str">
        <x:v>CHK0026959</x:v>
      </x:c>
      <x:c r="C409" s="21" t="str">
        <x:v>CHECK PAYMENT - Boone-Benton - DP-2026-026959</x:v>
      </x:c>
      <x:c r="D409" s="21" t="str">
        <x:v>Supplier payment</x:v>
      </x:c>
      <x:c r="E409" s="18" t="n">
        <x:v>380.06</x:v>
      </x:c>
      <x:c r="F409" s="18"/>
      <x:c r="G409" s="18" t="n">
        <x:v>-380.06</x:v>
      </x:c>
      <x:c r="H409" s="18" t="n">
        <x:f>H408+G409</x:f>
        <x:v>9300445.389999997</x:v>
      </x:c>
    </x:row>
    <x:row r="410">
      <x:c r="A410" s="20" t="n">
        <x:v>46177</x:v>
      </x:c>
      <x:c r="B410" s="21" t="str">
        <x:v>CHK0027077</x:v>
      </x:c>
      <x:c r="C410" s="21" t="str">
        <x:v>CHECK PAYMENT - Martinez LLC - DP-2026-027077</x:v>
      </x:c>
      <x:c r="D410" s="21" t="str">
        <x:v>Supplier payment</x:v>
      </x:c>
      <x:c r="E410" s="18" t="n">
        <x:v>291.62</x:v>
      </x:c>
      <x:c r="F410" s="18"/>
      <x:c r="G410" s="18" t="n">
        <x:v>-291.62</x:v>
      </x:c>
      <x:c r="H410" s="18" t="n">
        <x:f>H409+G410</x:f>
        <x:v>9300153.769999998</x:v>
      </x:c>
    </x:row>
    <x:row r="411">
      <x:c r="A411" s="20" t="n">
        <x:v>46177</x:v>
      </x:c>
      <x:c r="B411" s="21" t="str">
        <x:v>CHK0027087</x:v>
      </x:c>
      <x:c r="C411" s="21" t="str">
        <x:v>CHECK PAYMENT - Lucas, Green and Richardson - DP-2026-027087</x:v>
      </x:c>
      <x:c r="D411" s="21" t="str">
        <x:v>Supplier payment</x:v>
      </x:c>
      <x:c r="E411" s="18" t="n">
        <x:v>800.52</x:v>
      </x:c>
      <x:c r="F411" s="18"/>
      <x:c r="G411" s="18" t="n">
        <x:v>-800.52</x:v>
      </x:c>
      <x:c r="H411" s="18" t="n">
        <x:f>H410+G411</x:f>
        <x:v>9299353.249999998</x:v>
      </x:c>
    </x:row>
    <x:row r="412">
      <x:c r="A412" s="20" t="n">
        <x:v>46177</x:v>
      </x:c>
      <x:c r="B412" s="21" t="str">
        <x:v>CHK0027090</x:v>
      </x:c>
      <x:c r="C412" s="21" t="str">
        <x:v>CHECK PAYMENT - Salas, Gallagher and Anderson - DP-2026-027090</x:v>
      </x:c>
      <x:c r="D412" s="21" t="str">
        <x:v>Supplier payment</x:v>
      </x:c>
      <x:c r="E412" s="18" t="n">
        <x:v>309.06</x:v>
      </x:c>
      <x:c r="F412" s="18"/>
      <x:c r="G412" s="18" t="n">
        <x:v>-309.06</x:v>
      </x:c>
      <x:c r="H412" s="18" t="n">
        <x:f>H411+G412</x:f>
        <x:v>9299044.189999998</x:v>
      </x:c>
    </x:row>
    <x:row r="413">
      <x:c r="A413" s="20" t="n">
        <x:v>46177</x:v>
      </x:c>
      <x:c r="B413" s="21" t="str">
        <x:v>CHK0027270</x:v>
      </x:c>
      <x:c r="C413" s="21" t="str">
        <x:v>CHECK PAYMENT - House-Hodges - DP-2026-027270</x:v>
      </x:c>
      <x:c r="D413" s="21" t="str">
        <x:v>Supplier payment</x:v>
      </x:c>
      <x:c r="E413" s="18" t="n">
        <x:v>1025.1</x:v>
      </x:c>
      <x:c r="F413" s="18"/>
      <x:c r="G413" s="18" t="n">
        <x:v>-1025.1</x:v>
      </x:c>
      <x:c r="H413" s="18" t="n">
        <x:f>H412+G413</x:f>
        <x:v>9298019.089999998</x:v>
      </x:c>
    </x:row>
    <x:row r="414">
      <x:c r="A414" s="20" t="n">
        <x:v>46177</x:v>
      </x:c>
      <x:c r="B414" s="21" t="str">
        <x:v>CHK0027274</x:v>
      </x:c>
      <x:c r="C414" s="21" t="str">
        <x:v>CHECK PAYMENT - Lindsey and Sons - DP-2026-027274</x:v>
      </x:c>
      <x:c r="D414" s="21" t="str">
        <x:v>Supplier payment</x:v>
      </x:c>
      <x:c r="E414" s="18" t="n">
        <x:v>561</x:v>
      </x:c>
      <x:c r="F414" s="18"/>
      <x:c r="G414" s="18" t="n">
        <x:v>-561</x:v>
      </x:c>
      <x:c r="H414" s="18" t="n">
        <x:f>H413+G414</x:f>
        <x:v>9297458.089999998</x:v>
      </x:c>
    </x:row>
    <x:row r="415">
      <x:c r="A415" s="20" t="n">
        <x:v>46177</x:v>
      </x:c>
      <x:c r="B415" s="21" t="str">
        <x:v>CHK0027278</x:v>
      </x:c>
      <x:c r="C415" s="21" t="str">
        <x:v>CHECK PAYMENT - Green and Sons - DP-2026-027278</x:v>
      </x:c>
      <x:c r="D415" s="21" t="str">
        <x:v>Supplier payment</x:v>
      </x:c>
      <x:c r="E415" s="18" t="n">
        <x:v>522.91</x:v>
      </x:c>
      <x:c r="F415" s="18"/>
      <x:c r="G415" s="18" t="n">
        <x:v>-522.91</x:v>
      </x:c>
      <x:c r="H415" s="18" t="n">
        <x:f>H414+G415</x:f>
        <x:v>9296935.179999998</x:v>
      </x:c>
    </x:row>
    <x:row r="416">
      <x:c r="A416" s="20" t="n">
        <x:v>46177</x:v>
      </x:c>
      <x:c r="B416" s="21" t="str">
        <x:v>CHK0027297</x:v>
      </x:c>
      <x:c r="C416" s="21" t="str">
        <x:v>CHECK PAYMENT - Coleman-Moore - DP-2026-027297</x:v>
      </x:c>
      <x:c r="D416" s="21" t="str">
        <x:v>Supplier payment</x:v>
      </x:c>
      <x:c r="E416" s="18" t="n">
        <x:v>622.18</x:v>
      </x:c>
      <x:c r="F416" s="18"/>
      <x:c r="G416" s="18" t="n">
        <x:v>-622.18</x:v>
      </x:c>
      <x:c r="H416" s="18" t="n">
        <x:f>H415+G416</x:f>
        <x:v>9296312.999999998</x:v>
      </x:c>
    </x:row>
    <x:row r="417">
      <x:c r="A417" s="20" t="n">
        <x:v>46177</x:v>
      </x:c>
      <x:c r="B417" s="21" t="str">
        <x:v>CHK0027367</x:v>
      </x:c>
      <x:c r="C417" s="21" t="str">
        <x:v>CHECK PAYMENT - Morris-Taylor - DP-2026-027367</x:v>
      </x:c>
      <x:c r="D417" s="21" t="str">
        <x:v>Supplier payment</x:v>
      </x:c>
      <x:c r="E417" s="18" t="n">
        <x:v>1215.53</x:v>
      </x:c>
      <x:c r="F417" s="18"/>
      <x:c r="G417" s="18" t="n">
        <x:v>-1215.53</x:v>
      </x:c>
      <x:c r="H417" s="18" t="n">
        <x:f>H416+G417</x:f>
        <x:v>9295097.469999999</x:v>
      </x:c>
    </x:row>
    <x:row r="418">
      <x:c r="A418" s="20" t="n">
        <x:v>46177</x:v>
      </x:c>
      <x:c r="B418" s="21" t="str">
        <x:v>CHK0027388</x:v>
      </x:c>
      <x:c r="C418" s="21" t="str">
        <x:v>CHECK PAYMENT - Yang-Sandoval - DP-2026-027388</x:v>
      </x:c>
      <x:c r="D418" s="21" t="str">
        <x:v>Supplier payment</x:v>
      </x:c>
      <x:c r="E418" s="18" t="n">
        <x:v>254.42</x:v>
      </x:c>
      <x:c r="F418" s="18"/>
      <x:c r="G418" s="18" t="n">
        <x:v>-254.42</x:v>
      </x:c>
      <x:c r="H418" s="18" t="n">
        <x:f>H417+G418</x:f>
        <x:v>9294843.049999999</x:v>
      </x:c>
    </x:row>
    <x:row r="419">
      <x:c r="A419" s="20" t="n">
        <x:v>46177</x:v>
      </x:c>
      <x:c r="B419" s="21" t="str">
        <x:v>CHK0027391</x:v>
      </x:c>
      <x:c r="C419" s="21" t="str">
        <x:v>CHECK PAYMENT - Rodriguez, Goodman and Lee - DP-2026-027391</x:v>
      </x:c>
      <x:c r="D419" s="21" t="str">
        <x:v>Supplier payment</x:v>
      </x:c>
      <x:c r="E419" s="18" t="n">
        <x:v>3129.18</x:v>
      </x:c>
      <x:c r="F419" s="18"/>
      <x:c r="G419" s="18" t="n">
        <x:v>-3129.18</x:v>
      </x:c>
      <x:c r="H419" s="18" t="n">
        <x:f>H418+G419</x:f>
        <x:v>9291713.87</x:v>
      </x:c>
    </x:row>
    <x:row r="420">
      <x:c r="A420" s="20" t="n">
        <x:v>46177</x:v>
      </x:c>
      <x:c r="B420" s="21" t="str">
        <x:v>CHK0027402</x:v>
      </x:c>
      <x:c r="C420" s="21" t="str">
        <x:v>CHECK PAYMENT - Gay, Clark and Hickman - DP-2026-027402</x:v>
      </x:c>
      <x:c r="D420" s="21" t="str">
        <x:v>Supplier payment</x:v>
      </x:c>
      <x:c r="E420" s="18" t="n">
        <x:v>647.21</x:v>
      </x:c>
      <x:c r="F420" s="18"/>
      <x:c r="G420" s="18" t="n">
        <x:v>-647.21</x:v>
      </x:c>
      <x:c r="H420" s="18" t="n">
        <x:f>H419+G420</x:f>
        <x:v>9291066.659999998</x:v>
      </x:c>
    </x:row>
    <x:row r="421">
      <x:c r="A421" s="20" t="n">
        <x:v>46177</x:v>
      </x:c>
      <x:c r="B421" s="21" t="str">
        <x:v>CHK0027407</x:v>
      </x:c>
      <x:c r="C421" s="21" t="str">
        <x:v>CHECK PAYMENT - Goodwin, Walker and Scott - DP-2026-027407</x:v>
      </x:c>
      <x:c r="D421" s="21" t="str">
        <x:v>Supplier payment</x:v>
      </x:c>
      <x:c r="E421" s="18" t="n">
        <x:v>939.03</x:v>
      </x:c>
      <x:c r="F421" s="18"/>
      <x:c r="G421" s="18" t="n">
        <x:v>-939.03</x:v>
      </x:c>
      <x:c r="H421" s="18" t="n">
        <x:f>H420+G421</x:f>
        <x:v>9290127.629999999</x:v>
      </x:c>
    </x:row>
    <x:row r="422">
      <x:c r="A422" s="20" t="n">
        <x:v>46177</x:v>
      </x:c>
      <x:c r="B422" s="21" t="str">
        <x:v>CHK0027412</x:v>
      </x:c>
      <x:c r="C422" s="21" t="str">
        <x:v>CHECK PAYMENT - Martinez LLC - DP-2026-027412</x:v>
      </x:c>
      <x:c r="D422" s="21" t="str">
        <x:v>Supplier payment</x:v>
      </x:c>
      <x:c r="E422" s="18" t="n">
        <x:v>268.7</x:v>
      </x:c>
      <x:c r="F422" s="18"/>
      <x:c r="G422" s="18" t="n">
        <x:v>-268.7</x:v>
      </x:c>
      <x:c r="H422" s="18" t="n">
        <x:f>H421+G422</x:f>
        <x:v>9289858.93</x:v>
      </x:c>
    </x:row>
    <x:row r="423">
      <x:c r="A423" s="20" t="n">
        <x:v>46177</x:v>
      </x:c>
      <x:c r="B423" s="21" t="str">
        <x:v>CHK0027413</x:v>
      </x:c>
      <x:c r="C423" s="21" t="str">
        <x:v>CHECK PAYMENT - Collins-Johnson - DP-2026-027413</x:v>
      </x:c>
      <x:c r="D423" s="21" t="str">
        <x:v>Supplier payment</x:v>
      </x:c>
      <x:c r="E423" s="18" t="n">
        <x:v>610.94</x:v>
      </x:c>
      <x:c r="F423" s="18"/>
      <x:c r="G423" s="18" t="n">
        <x:v>-610.94</x:v>
      </x:c>
      <x:c r="H423" s="18" t="n">
        <x:f>H422+G423</x:f>
        <x:v>9289247.99</x:v>
      </x:c>
    </x:row>
    <x:row r="424">
      <x:c r="A424" s="20" t="n">
        <x:v>46177</x:v>
      </x:c>
      <x:c r="B424" s="21" t="str">
        <x:v>CHK0027451</x:v>
      </x:c>
      <x:c r="C424" s="21" t="str">
        <x:v>CHECK PAYMENT - Coleman-Moore - DP-2026-027451</x:v>
      </x:c>
      <x:c r="D424" s="21" t="str">
        <x:v>Supplier payment</x:v>
      </x:c>
      <x:c r="E424" s="18" t="n">
        <x:v>296.09</x:v>
      </x:c>
      <x:c r="F424" s="18"/>
      <x:c r="G424" s="18" t="n">
        <x:v>-296.09</x:v>
      </x:c>
      <x:c r="H424" s="18" t="n">
        <x:f>H423+G424</x:f>
        <x:v>9288951.9</x:v>
      </x:c>
    </x:row>
    <x:row r="425">
      <x:c r="A425" s="20" t="n">
        <x:v>46177</x:v>
      </x:c>
      <x:c r="B425" s="21" t="str">
        <x:v>CHK0027462</x:v>
      </x:c>
      <x:c r="C425" s="21" t="str">
        <x:v>CHECK PAYMENT - Thomas, Gonzalez and Beltran - DP-2026-027462</x:v>
      </x:c>
      <x:c r="D425" s="21" t="str">
        <x:v>Supplier payment</x:v>
      </x:c>
      <x:c r="E425" s="18" t="n">
        <x:v>567.77</x:v>
      </x:c>
      <x:c r="F425" s="18"/>
      <x:c r="G425" s="18" t="n">
        <x:v>-567.77</x:v>
      </x:c>
      <x:c r="H425" s="18" t="n">
        <x:f>H424+G425</x:f>
        <x:v>9288384.13</x:v>
      </x:c>
    </x:row>
    <x:row r="426">
      <x:c r="A426" s="20" t="n">
        <x:v>46177</x:v>
      </x:c>
      <x:c r="B426" s="21" t="str">
        <x:v>CHK0027463</x:v>
      </x:c>
      <x:c r="C426" s="21" t="str">
        <x:v>CHECK PAYMENT - Hernandez, Melendez and Mcdowell - DP-2026-027463</x:v>
      </x:c>
      <x:c r="D426" s="21" t="str">
        <x:v>Supplier payment</x:v>
      </x:c>
      <x:c r="E426" s="18" t="n">
        <x:v>96.44</x:v>
      </x:c>
      <x:c r="F426" s="18"/>
      <x:c r="G426" s="18" t="n">
        <x:v>-96.44</x:v>
      </x:c>
      <x:c r="H426" s="18" t="n">
        <x:f>H425+G426</x:f>
        <x:v>9288287.690000001</x:v>
      </x:c>
    </x:row>
    <x:row r="427">
      <x:c r="A427" s="20" t="n">
        <x:v>46177</x:v>
      </x:c>
      <x:c r="B427" s="21" t="str">
        <x:v>CHK0027474</x:v>
      </x:c>
      <x:c r="C427" s="21" t="str">
        <x:v>CHECK PAYMENT - Lindsey and Sons - DP-2026-027474</x:v>
      </x:c>
      <x:c r="D427" s="21" t="str">
        <x:v>Supplier payment</x:v>
      </x:c>
      <x:c r="E427" s="18" t="n">
        <x:v>268.31</x:v>
      </x:c>
      <x:c r="F427" s="18"/>
      <x:c r="G427" s="18" t="n">
        <x:v>-268.31</x:v>
      </x:c>
      <x:c r="H427" s="18" t="n">
        <x:f>H426+G427</x:f>
        <x:v>9288019.38</x:v>
      </x:c>
    </x:row>
    <x:row r="428">
      <x:c r="A428" s="20" t="n">
        <x:v>46177</x:v>
      </x:c>
      <x:c r="B428" s="21" t="str">
        <x:v>CHK0027481</x:v>
      </x:c>
      <x:c r="C428" s="21" t="str">
        <x:v>CHECK PAYMENT - Silva, Burton and Arnold - DP-2026-027481</x:v>
      </x:c>
      <x:c r="D428" s="21" t="str">
        <x:v>Supplier payment</x:v>
      </x:c>
      <x:c r="E428" s="18" t="n">
        <x:v>107.33</x:v>
      </x:c>
      <x:c r="F428" s="18"/>
      <x:c r="G428" s="18" t="n">
        <x:v>-107.33</x:v>
      </x:c>
      <x:c r="H428" s="18" t="n">
        <x:f>H427+G428</x:f>
        <x:v>9287912.05</x:v>
      </x:c>
    </x:row>
    <x:row r="429">
      <x:c r="A429" s="20" t="n">
        <x:v>46177</x:v>
      </x:c>
      <x:c r="B429" s="21" t="str">
        <x:v>CHK0027496</x:v>
      </x:c>
      <x:c r="C429" s="21" t="str">
        <x:v>CHECK PAYMENT - Collins-Johnson - DP-2026-027496</x:v>
      </x:c>
      <x:c r="D429" s="21" t="str">
        <x:v>Supplier payment</x:v>
      </x:c>
      <x:c r="E429" s="18" t="n">
        <x:v>743.67</x:v>
      </x:c>
      <x:c r="F429" s="18"/>
      <x:c r="G429" s="18" t="n">
        <x:v>-743.67</x:v>
      </x:c>
      <x:c r="H429" s="18" t="n">
        <x:f>H428+G429</x:f>
        <x:v>9287168.38</x:v>
      </x:c>
    </x:row>
    <x:row r="430">
      <x:c r="A430" s="20" t="n">
        <x:v>46177</x:v>
      </x:c>
      <x:c r="B430" s="21" t="str">
        <x:v>CHK0027499</x:v>
      </x:c>
      <x:c r="C430" s="21" t="str">
        <x:v>CHECK PAYMENT - Keith PLC - DP-2026-027499</x:v>
      </x:c>
      <x:c r="D430" s="21" t="str">
        <x:v>Supplier payment</x:v>
      </x:c>
      <x:c r="E430" s="18" t="n">
        <x:v>1154.3</x:v>
      </x:c>
      <x:c r="F430" s="18"/>
      <x:c r="G430" s="18" t="n">
        <x:v>-1154.3</x:v>
      </x:c>
      <x:c r="H430" s="18" t="n">
        <x:f>H429+G430</x:f>
        <x:v>9286014.08</x:v>
      </x:c>
    </x:row>
    <x:row r="431">
      <x:c r="A431" s="20" t="n">
        <x:v>46177</x:v>
      </x:c>
      <x:c r="B431" s="21" t="str">
        <x:v>CHK0027505</x:v>
      </x:c>
      <x:c r="C431" s="21" t="str">
        <x:v>CHECK PAYMENT - Dennis PLC - DP-2026-027505</x:v>
      </x:c>
      <x:c r="D431" s="21" t="str">
        <x:v>Supplier payment</x:v>
      </x:c>
      <x:c r="E431" s="18" t="n">
        <x:v>78.68</x:v>
      </x:c>
      <x:c r="F431" s="18"/>
      <x:c r="G431" s="18" t="n">
        <x:v>-78.68</x:v>
      </x:c>
      <x:c r="H431" s="18" t="n">
        <x:f>H430+G431</x:f>
        <x:v>9285935.4</x:v>
      </x:c>
    </x:row>
    <x:row r="432">
      <x:c r="A432" s="20" t="n">
        <x:v>46177</x:v>
      </x:c>
      <x:c r="B432" s="21" t="str">
        <x:v>CHK0027508</x:v>
      </x:c>
      <x:c r="C432" s="21" t="str">
        <x:v>CHECK PAYMENT - Sweeney PLC - DP-2026-027508</x:v>
      </x:c>
      <x:c r="D432" s="21" t="str">
        <x:v>Supplier payment</x:v>
      </x:c>
      <x:c r="E432" s="18" t="n">
        <x:v>188.46</x:v>
      </x:c>
      <x:c r="F432" s="18"/>
      <x:c r="G432" s="18" t="n">
        <x:v>-188.46</x:v>
      </x:c>
      <x:c r="H432" s="18" t="n">
        <x:f>H431+G432</x:f>
        <x:v>9285746.94</x:v>
      </x:c>
    </x:row>
    <x:row r="433">
      <x:c r="A433" s="20" t="n">
        <x:v>46177</x:v>
      </x:c>
      <x:c r="B433" s="21" t="str">
        <x:v>CHK0027515</x:v>
      </x:c>
      <x:c r="C433" s="21" t="str">
        <x:v>CHECK PAYMENT - Keith PLC - DP-2026-027515</x:v>
      </x:c>
      <x:c r="D433" s="21" t="str">
        <x:v>Supplier payment</x:v>
      </x:c>
      <x:c r="E433" s="18" t="n">
        <x:v>1238.19</x:v>
      </x:c>
      <x:c r="F433" s="18"/>
      <x:c r="G433" s="18" t="n">
        <x:v>-1238.19</x:v>
      </x:c>
      <x:c r="H433" s="18" t="n">
        <x:f>H432+G433</x:f>
        <x:v>9284508.75</x:v>
      </x:c>
    </x:row>
    <x:row r="434">
      <x:c r="A434" s="20" t="n">
        <x:v>46177</x:v>
      </x:c>
      <x:c r="B434" s="21" t="str">
        <x:v>CHK0027520</x:v>
      </x:c>
      <x:c r="C434" s="21" t="str">
        <x:v>CHECK PAYMENT - Keith PLC - DP-2026-027520</x:v>
      </x:c>
      <x:c r="D434" s="21" t="str">
        <x:v>Supplier payment</x:v>
      </x:c>
      <x:c r="E434" s="18" t="n">
        <x:v>3018.17</x:v>
      </x:c>
      <x:c r="F434" s="18"/>
      <x:c r="G434" s="18" t="n">
        <x:v>-3018.17</x:v>
      </x:c>
      <x:c r="H434" s="18" t="n">
        <x:f>H433+G434</x:f>
        <x:v>9281490.58</x:v>
      </x:c>
    </x:row>
    <x:row r="435">
      <x:c r="A435" s="20" t="n">
        <x:v>46177</x:v>
      </x:c>
      <x:c r="B435" s="21" t="str">
        <x:v>CHK0027554</x:v>
      </x:c>
      <x:c r="C435" s="21" t="str">
        <x:v>CHECK PAYMENT - Brown-Owens - DP-2026-027554</x:v>
      </x:c>
      <x:c r="D435" s="21" t="str">
        <x:v>Supplier payment</x:v>
      </x:c>
      <x:c r="E435" s="18" t="n">
        <x:v>302.11</x:v>
      </x:c>
      <x:c r="F435" s="18"/>
      <x:c r="G435" s="18" t="n">
        <x:v>-302.11</x:v>
      </x:c>
      <x:c r="H435" s="18" t="n">
        <x:f>H434+G435</x:f>
        <x:v>9281188.47</x:v>
      </x:c>
    </x:row>
    <x:row r="436">
      <x:c r="A436" s="20" t="n">
        <x:v>46177</x:v>
      </x:c>
      <x:c r="B436" s="21" t="str">
        <x:v>CHK0027561</x:v>
      </x:c>
      <x:c r="C436" s="21" t="str">
        <x:v>CHECK PAYMENT - Evans PLC - DP-2026-027561</x:v>
      </x:c>
      <x:c r="D436" s="21" t="str">
        <x:v>Supplier payment</x:v>
      </x:c>
      <x:c r="E436" s="18" t="n">
        <x:v>1150.88</x:v>
      </x:c>
      <x:c r="F436" s="18"/>
      <x:c r="G436" s="18" t="n">
        <x:v>-1150.88</x:v>
      </x:c>
      <x:c r="H436" s="18" t="n">
        <x:f>H435+G436</x:f>
        <x:v>9280037.59</x:v>
      </x:c>
    </x:row>
    <x:row r="437">
      <x:c r="A437" s="20" t="n">
        <x:v>46177</x:v>
      </x:c>
      <x:c r="B437" s="21" t="str">
        <x:v>CHK0027579</x:v>
      </x:c>
      <x:c r="C437" s="21" t="str">
        <x:v>CHECK PAYMENT - Turner PLC - DP-2026-027579</x:v>
      </x:c>
      <x:c r="D437" s="21" t="str">
        <x:v>Supplier payment</x:v>
      </x:c>
      <x:c r="E437" s="18" t="n">
        <x:v>327.34</x:v>
      </x:c>
      <x:c r="F437" s="18"/>
      <x:c r="G437" s="18" t="n">
        <x:v>-327.34</x:v>
      </x:c>
      <x:c r="H437" s="18" t="n">
        <x:f>H436+G437</x:f>
        <x:v>9279710.25</x:v>
      </x:c>
    </x:row>
    <x:row r="438">
      <x:c r="A438" s="20" t="n">
        <x:v>46177</x:v>
      </x:c>
      <x:c r="B438" s="21" t="str">
        <x:v>CHK0027581</x:v>
      </x:c>
      <x:c r="C438" s="21" t="str">
        <x:v>CHECK PAYMENT - Hester Ltd - DP-2026-027581</x:v>
      </x:c>
      <x:c r="D438" s="21" t="str">
        <x:v>Supplier payment</x:v>
      </x:c>
      <x:c r="E438" s="18" t="n">
        <x:v>548.6</x:v>
      </x:c>
      <x:c r="F438" s="18"/>
      <x:c r="G438" s="18" t="n">
        <x:v>-548.6</x:v>
      </x:c>
      <x:c r="H438" s="18" t="n">
        <x:f>H437+G438</x:f>
        <x:v>9279161.65</x:v>
      </x:c>
    </x:row>
    <x:row r="439">
      <x:c r="A439" s="20" t="n">
        <x:v>46177</x:v>
      </x:c>
      <x:c r="B439" s="21" t="str">
        <x:v>CHK0027595</x:v>
      </x:c>
      <x:c r="C439" s="21" t="str">
        <x:v>CHECK PAYMENT - Day PLC - DP-2026-027595</x:v>
      </x:c>
      <x:c r="D439" s="21" t="str">
        <x:v>Supplier payment</x:v>
      </x:c>
      <x:c r="E439" s="18" t="n">
        <x:v>565.89</x:v>
      </x:c>
      <x:c r="F439" s="18"/>
      <x:c r="G439" s="18" t="n">
        <x:v>-565.89</x:v>
      </x:c>
      <x:c r="H439" s="18" t="n">
        <x:f>H438+G439</x:f>
        <x:v>9278595.76</x:v>
      </x:c>
    </x:row>
    <x:row r="440">
      <x:c r="A440" s="20" t="n">
        <x:v>46177</x:v>
      </x:c>
      <x:c r="B440" s="21" t="str">
        <x:v>CHK0027605</x:v>
      </x:c>
      <x:c r="C440" s="21" t="str">
        <x:v>CHECK PAYMENT - Brooks, Johnson and Olson - DP-2026-027605</x:v>
      </x:c>
      <x:c r="D440" s="21" t="str">
        <x:v>Supplier payment</x:v>
      </x:c>
      <x:c r="E440" s="18" t="n">
        <x:v>148.49</x:v>
      </x:c>
      <x:c r="F440" s="18"/>
      <x:c r="G440" s="18" t="n">
        <x:v>-148.49</x:v>
      </x:c>
      <x:c r="H440" s="18" t="n">
        <x:f>H439+G440</x:f>
        <x:v>9278447.27</x:v>
      </x:c>
    </x:row>
    <x:row r="441">
      <x:c r="A441" s="20" t="n">
        <x:v>46177</x:v>
      </x:c>
      <x:c r="B441" s="21" t="str">
        <x:v>CHK0027628</x:v>
      </x:c>
      <x:c r="C441" s="21" t="str">
        <x:v>CHECK PAYMENT - Watson, Mitchell and Chen - DP-2026-027628</x:v>
      </x:c>
      <x:c r="D441" s="21" t="str">
        <x:v>Supplier payment</x:v>
      </x:c>
      <x:c r="E441" s="18" t="n">
        <x:v>2523.66</x:v>
      </x:c>
      <x:c r="F441" s="18"/>
      <x:c r="G441" s="18" t="n">
        <x:v>-2523.66</x:v>
      </x:c>
      <x:c r="H441" s="18" t="n">
        <x:f>H440+G441</x:f>
        <x:v>9275923.61</x:v>
      </x:c>
    </x:row>
    <x:row r="442">
      <x:c r="A442" s="20" t="n">
        <x:v>46177</x:v>
      </x:c>
      <x:c r="B442" s="21" t="str">
        <x:v>CHK0027640</x:v>
      </x:c>
      <x:c r="C442" s="21" t="str">
        <x:v>CHECK PAYMENT - Hoffman LLC - DP-2026-027640</x:v>
      </x:c>
      <x:c r="D442" s="21" t="str">
        <x:v>Supplier payment</x:v>
      </x:c>
      <x:c r="E442" s="18" t="n">
        <x:v>666.84</x:v>
      </x:c>
      <x:c r="F442" s="18"/>
      <x:c r="G442" s="18" t="n">
        <x:v>-666.84</x:v>
      </x:c>
      <x:c r="H442" s="18" t="n">
        <x:f>H441+G442</x:f>
        <x:v>9275256.77</x:v>
      </x:c>
    </x:row>
    <x:row r="443">
      <x:c r="A443" s="20" t="n">
        <x:v>46177</x:v>
      </x:c>
      <x:c r="B443" s="21" t="str">
        <x:v>CHK0027661</x:v>
      </x:c>
      <x:c r="C443" s="21" t="str">
        <x:v>CHECK PAYMENT - Collins-Johnson - DP-2026-027661</x:v>
      </x:c>
      <x:c r="D443" s="21" t="str">
        <x:v>Supplier payment</x:v>
      </x:c>
      <x:c r="E443" s="18" t="n">
        <x:v>212.29</x:v>
      </x:c>
      <x:c r="F443" s="18"/>
      <x:c r="G443" s="18" t="n">
        <x:v>-212.29</x:v>
      </x:c>
      <x:c r="H443" s="18" t="n">
        <x:f>H442+G443</x:f>
        <x:v>9275044.48</x:v>
      </x:c>
    </x:row>
    <x:row r="444">
      <x:c r="A444" s="20" t="n">
        <x:v>46177</x:v>
      </x:c>
      <x:c r="B444" s="21" t="str">
        <x:v>CHK0027692</x:v>
      </x:c>
      <x:c r="C444" s="21" t="str">
        <x:v>CHECK PAYMENT - Lindsey and Sons - DP-2026-027692</x:v>
      </x:c>
      <x:c r="D444" s="21" t="str">
        <x:v>Supplier payment</x:v>
      </x:c>
      <x:c r="E444" s="18" t="n">
        <x:v>90.31</x:v>
      </x:c>
      <x:c r="F444" s="18"/>
      <x:c r="G444" s="18" t="n">
        <x:v>-90.31</x:v>
      </x:c>
      <x:c r="H444" s="18" t="n">
        <x:f>H443+G444</x:f>
        <x:v>9274954.17</x:v>
      </x:c>
    </x:row>
    <x:row r="445">
      <x:c r="A445" s="20" t="n">
        <x:v>46177</x:v>
      </x:c>
      <x:c r="B445" s="21" t="str">
        <x:v>CHK0027705</x:v>
      </x:c>
      <x:c r="C445" s="21" t="str">
        <x:v>CHECK PAYMENT - Martinez LLC - DP-2026-027705</x:v>
      </x:c>
      <x:c r="D445" s="21" t="str">
        <x:v>Supplier payment</x:v>
      </x:c>
      <x:c r="E445" s="18" t="n">
        <x:v>32.51</x:v>
      </x:c>
      <x:c r="F445" s="18"/>
      <x:c r="G445" s="18" t="n">
        <x:v>-32.51</x:v>
      </x:c>
      <x:c r="H445" s="18" t="n">
        <x:f>H444+G445</x:f>
        <x:v>9274921.66</x:v>
      </x:c>
    </x:row>
    <x:row r="446">
      <x:c r="A446" s="20" t="n">
        <x:v>46177</x:v>
      </x:c>
      <x:c r="B446" s="21" t="str">
        <x:v>CHK0027732</x:v>
      </x:c>
      <x:c r="C446" s="21" t="str">
        <x:v>CHECK PAYMENT - Collins-Johnson - DP-2026-027732</x:v>
      </x:c>
      <x:c r="D446" s="21" t="str">
        <x:v>Supplier payment</x:v>
      </x:c>
      <x:c r="E446" s="18" t="n">
        <x:v>700.09</x:v>
      </x:c>
      <x:c r="F446" s="18"/>
      <x:c r="G446" s="18" t="n">
        <x:v>-700.09</x:v>
      </x:c>
      <x:c r="H446" s="18" t="n">
        <x:f>H445+G446</x:f>
        <x:v>9274221.57</x:v>
      </x:c>
    </x:row>
    <x:row r="447">
      <x:c r="A447" s="20" t="n">
        <x:v>46177</x:v>
      </x:c>
      <x:c r="B447" s="21" t="str">
        <x:v>CHK0027763</x:v>
      </x:c>
      <x:c r="C447" s="21" t="str">
        <x:v>CHECK PAYMENT - Bell, Pruitt and David - DP-2026-027763</x:v>
      </x:c>
      <x:c r="D447" s="21" t="str">
        <x:v>Supplier payment</x:v>
      </x:c>
      <x:c r="E447" s="18" t="n">
        <x:v>376.66</x:v>
      </x:c>
      <x:c r="F447" s="18"/>
      <x:c r="G447" s="18" t="n">
        <x:v>-376.66</x:v>
      </x:c>
      <x:c r="H447" s="18" t="n">
        <x:f>H446+G447</x:f>
        <x:v>9273844.91</x:v>
      </x:c>
    </x:row>
    <x:row r="448">
      <x:c r="A448" s="20" t="n">
        <x:v>46177</x:v>
      </x:c>
      <x:c r="B448" s="21" t="str">
        <x:v>CHK0027773</x:v>
      </x:c>
      <x:c r="C448" s="21" t="str">
        <x:v>CHECK PAYMENT - Garcia Group - DP-2026-027773</x:v>
      </x:c>
      <x:c r="D448" s="21" t="str">
        <x:v>Supplier payment</x:v>
      </x:c>
      <x:c r="E448" s="18" t="n">
        <x:v>1606.39</x:v>
      </x:c>
      <x:c r="F448" s="18"/>
      <x:c r="G448" s="18" t="n">
        <x:v>-1606.39</x:v>
      </x:c>
      <x:c r="H448" s="18" t="n">
        <x:f>H447+G448</x:f>
        <x:v>9272238.52</x:v>
      </x:c>
    </x:row>
    <x:row r="449">
      <x:c r="A449" s="20" t="n">
        <x:v>46177</x:v>
      </x:c>
      <x:c r="B449" s="21" t="str">
        <x:v>CHK0027776</x:v>
      </x:c>
      <x:c r="C449" s="21" t="str">
        <x:v>CHECK PAYMENT - Cross, Alexander and Romero - DP-2026-027776</x:v>
      </x:c>
      <x:c r="D449" s="21" t="str">
        <x:v>Supplier payment</x:v>
      </x:c>
      <x:c r="E449" s="18" t="n">
        <x:v>31.18</x:v>
      </x:c>
      <x:c r="F449" s="18"/>
      <x:c r="G449" s="18" t="n">
        <x:v>-31.18</x:v>
      </x:c>
      <x:c r="H449" s="18" t="n">
        <x:f>H448+G449</x:f>
        <x:v>9272207.34</x:v>
      </x:c>
    </x:row>
    <x:row r="450">
      <x:c r="A450" s="20" t="n">
        <x:v>46177</x:v>
      </x:c>
      <x:c r="B450" s="21" t="str">
        <x:v>CHK0027790</x:v>
      </x:c>
      <x:c r="C450" s="21" t="str">
        <x:v>CHECK PAYMENT - Marks, Mitchell and Hernandez - DP-2026-027790</x:v>
      </x:c>
      <x:c r="D450" s="21" t="str">
        <x:v>Supplier payment</x:v>
      </x:c>
      <x:c r="E450" s="18" t="n">
        <x:v>3395.76</x:v>
      </x:c>
      <x:c r="F450" s="18"/>
      <x:c r="G450" s="18" t="n">
        <x:v>-3395.76</x:v>
      </x:c>
      <x:c r="H450" s="18" t="n">
        <x:f>H449+G450</x:f>
        <x:v>9268811.58</x:v>
      </x:c>
    </x:row>
    <x:row r="451">
      <x:c r="A451" s="20" t="n">
        <x:v>46177</x:v>
      </x:c>
      <x:c r="B451" s="21" t="str">
        <x:v>CHK0027841</x:v>
      </x:c>
      <x:c r="C451" s="21" t="str">
        <x:v>CHECK PAYMENT - Hernandez, Melendez and Mcdowell - DP-2026-027841</x:v>
      </x:c>
      <x:c r="D451" s="21" t="str">
        <x:v>Supplier payment</x:v>
      </x:c>
      <x:c r="E451" s="18" t="n">
        <x:v>220.69</x:v>
      </x:c>
      <x:c r="F451" s="18"/>
      <x:c r="G451" s="18" t="n">
        <x:v>-220.69</x:v>
      </x:c>
      <x:c r="H451" s="18" t="n">
        <x:f>H450+G451</x:f>
        <x:v>9268590.89</x:v>
      </x:c>
    </x:row>
    <x:row r="452">
      <x:c r="A452" s="20" t="n">
        <x:v>46177</x:v>
      </x:c>
      <x:c r="B452" s="21" t="str">
        <x:v>CHK0027868</x:v>
      </x:c>
      <x:c r="C452" s="21" t="str">
        <x:v>CHECK PAYMENT - King Ltd - DP-2026-027868</x:v>
      </x:c>
      <x:c r="D452" s="21" t="str">
        <x:v>Supplier payment</x:v>
      </x:c>
      <x:c r="E452" s="18" t="n">
        <x:v>129.31</x:v>
      </x:c>
      <x:c r="F452" s="18"/>
      <x:c r="G452" s="18" t="n">
        <x:v>-129.31</x:v>
      </x:c>
      <x:c r="H452" s="18" t="n">
        <x:f>H451+G452</x:f>
        <x:v>9268461.58</x:v>
      </x:c>
    </x:row>
    <x:row r="453">
      <x:c r="A453" s="20" t="n">
        <x:v>46177</x:v>
      </x:c>
      <x:c r="B453" s="21" t="str">
        <x:v>CHK0027875</x:v>
      </x:c>
      <x:c r="C453" s="21" t="str">
        <x:v>CHECK PAYMENT - Dennis PLC - DP-2026-027875</x:v>
      </x:c>
      <x:c r="D453" s="21" t="str">
        <x:v>Supplier payment</x:v>
      </x:c>
      <x:c r="E453" s="18" t="n">
        <x:v>781.49</x:v>
      </x:c>
      <x:c r="F453" s="18"/>
      <x:c r="G453" s="18" t="n">
        <x:v>-781.49</x:v>
      </x:c>
      <x:c r="H453" s="18" t="n">
        <x:f>H452+G453</x:f>
        <x:v>9267680.09</x:v>
      </x:c>
    </x:row>
    <x:row r="454">
      <x:c r="A454" s="20" t="n">
        <x:v>46177</x:v>
      </x:c>
      <x:c r="B454" s="21" t="str">
        <x:v>CHK0027928</x:v>
      </x:c>
      <x:c r="C454" s="21" t="str">
        <x:v>CHECK PAYMENT - Bell, Pruitt and David - DP-2026-027928</x:v>
      </x:c>
      <x:c r="D454" s="21" t="str">
        <x:v>Supplier payment</x:v>
      </x:c>
      <x:c r="E454" s="18" t="n">
        <x:v>895.71</x:v>
      </x:c>
      <x:c r="F454" s="18"/>
      <x:c r="G454" s="18" t="n">
        <x:v>-895.71</x:v>
      </x:c>
      <x:c r="H454" s="18" t="n">
        <x:f>H453+G454</x:f>
        <x:v>9266784.379999999</x:v>
      </x:c>
    </x:row>
    <x:row r="455">
      <x:c r="A455" s="20" t="n">
        <x:v>46177</x:v>
      </x:c>
      <x:c r="B455" s="21" t="str">
        <x:v>CHK0027940</x:v>
      </x:c>
      <x:c r="C455" s="21" t="str">
        <x:v>CHECK PAYMENT - Collins-Johnson - DP-2026-027940</x:v>
      </x:c>
      <x:c r="D455" s="21" t="str">
        <x:v>Supplier payment</x:v>
      </x:c>
      <x:c r="E455" s="18" t="n">
        <x:v>254.44</x:v>
      </x:c>
      <x:c r="F455" s="18"/>
      <x:c r="G455" s="18" t="n">
        <x:v>-254.44</x:v>
      </x:c>
      <x:c r="H455" s="18" t="n">
        <x:f>H454+G455</x:f>
        <x:v>9266529.94</x:v>
      </x:c>
    </x:row>
    <x:row r="456">
      <x:c r="A456" s="20" t="n">
        <x:v>46177</x:v>
      </x:c>
      <x:c r="B456" s="21" t="str">
        <x:v>CHK0040068</x:v>
      </x:c>
      <x:c r="C456" s="21" t="str">
        <x:v>CHECK PAYMENT - Evans PLC - DP-2026-040068</x:v>
      </x:c>
      <x:c r="D456" s="21" t="str">
        <x:v>Supplier payment</x:v>
      </x:c>
      <x:c r="E456" s="18" t="n">
        <x:v>3668.28</x:v>
      </x:c>
      <x:c r="F456" s="18"/>
      <x:c r="G456" s="18" t="n">
        <x:v>-3668.28</x:v>
      </x:c>
      <x:c r="H456" s="18" t="n">
        <x:f>H455+G456</x:f>
        <x:v>9262861.66</x:v>
      </x:c>
    </x:row>
    <x:row r="457">
      <x:c r="A457" s="20" t="n">
        <x:v>46177</x:v>
      </x:c>
      <x:c r="B457" s="21" t="str">
        <x:v>DP-2026-025588</x:v>
      </x:c>
      <x:c r="C457" s="21" t="str">
        <x:v>ACH PAYMENT - Tucker Group - DP-2026-025588</x:v>
      </x:c>
      <x:c r="D457" s="21" t="str">
        <x:v>Supplier payment</x:v>
      </x:c>
      <x:c r="E457" s="18" t="n">
        <x:v>152.21</x:v>
      </x:c>
      <x:c r="F457" s="18"/>
      <x:c r="G457" s="18" t="n">
        <x:v>-152.21</x:v>
      </x:c>
      <x:c r="H457" s="18" t="n">
        <x:f>H456+G457</x:f>
        <x:v>9262709.45</x:v>
      </x:c>
    </x:row>
    <x:row r="458">
      <x:c r="A458" s="20" t="n">
        <x:v>46177</x:v>
      </x:c>
      <x:c r="B458" s="21" t="str">
        <x:v>DP-2026-026885</x:v>
      </x:c>
      <x:c r="C458" s="21" t="str">
        <x:v>ACH PAYMENT - Villarreal, Mcdonald and Scott - DP-2026-026885</x:v>
      </x:c>
      <x:c r="D458" s="21" t="str">
        <x:v>Supplier payment</x:v>
      </x:c>
      <x:c r="E458" s="18" t="n">
        <x:v>830.59</x:v>
      </x:c>
      <x:c r="F458" s="18"/>
      <x:c r="G458" s="18" t="n">
        <x:v>-830.59</x:v>
      </x:c>
      <x:c r="H458" s="18" t="n">
        <x:f>H457+G458</x:f>
        <x:v>9261878.86</x:v>
      </x:c>
    </x:row>
    <x:row r="459">
      <x:c r="A459" s="20" t="n">
        <x:v>46177</x:v>
      </x:c>
      <x:c r="B459" s="21" t="str">
        <x:v>DP-2026-026992</x:v>
      </x:c>
      <x:c r="C459" s="21" t="str">
        <x:v>ACH PAYMENT - Garcia Group - DP-2026-026992</x:v>
      </x:c>
      <x:c r="D459" s="21" t="str">
        <x:v>Supplier payment</x:v>
      </x:c>
      <x:c r="E459" s="18" t="n">
        <x:v>434.2</x:v>
      </x:c>
      <x:c r="F459" s="18"/>
      <x:c r="G459" s="18" t="n">
        <x:v>-434.2</x:v>
      </x:c>
      <x:c r="H459" s="18" t="n">
        <x:f>H458+G459</x:f>
        <x:v>9261444.66</x:v>
      </x:c>
    </x:row>
    <x:row r="460">
      <x:c r="A460" s="20" t="n">
        <x:v>46177</x:v>
      </x:c>
      <x:c r="B460" s="21" t="str">
        <x:v>DP-2026-027017</x:v>
      </x:c>
      <x:c r="C460" s="21" t="str">
        <x:v>WIRE TRANSFER PAYMENT - Peters, Terry and Zimmerman - DP-2026-027017</x:v>
      </x:c>
      <x:c r="D460" s="21" t="str">
        <x:v>Supplier payment</x:v>
      </x:c>
      <x:c r="E460" s="18" t="n">
        <x:v>252.99</x:v>
      </x:c>
      <x:c r="F460" s="18"/>
      <x:c r="G460" s="18" t="n">
        <x:v>-252.99</x:v>
      </x:c>
      <x:c r="H460" s="18" t="n">
        <x:f>H459+G460</x:f>
        <x:v>9261191.67</x:v>
      </x:c>
    </x:row>
    <x:row r="461">
      <x:c r="A461" s="20" t="n">
        <x:v>46177</x:v>
      </x:c>
      <x:c r="B461" s="21" t="str">
        <x:v>DP-2026-027078</x:v>
      </x:c>
      <x:c r="C461" s="21" t="str">
        <x:v>WIRE TRANSFER PAYMENT - Hoffman LLC - DP-2026-027078</x:v>
      </x:c>
      <x:c r="D461" s="21" t="str">
        <x:v>Supplier payment</x:v>
      </x:c>
      <x:c r="E461" s="18" t="n">
        <x:v>398.41</x:v>
      </x:c>
      <x:c r="F461" s="18"/>
      <x:c r="G461" s="18" t="n">
        <x:v>-398.41</x:v>
      </x:c>
      <x:c r="H461" s="18" t="n">
        <x:f>H460+G461</x:f>
        <x:v>9260793.26</x:v>
      </x:c>
    </x:row>
    <x:row r="462">
      <x:c r="A462" s="20" t="n">
        <x:v>46177</x:v>
      </x:c>
      <x:c r="B462" s="21" t="str">
        <x:v>DP-2026-027080</x:v>
      </x:c>
      <x:c r="C462" s="21" t="str">
        <x:v>ACH PAYMENT - Duncan-Dawson - DP-2026-027080</x:v>
      </x:c>
      <x:c r="D462" s="21" t="str">
        <x:v>Supplier payment</x:v>
      </x:c>
      <x:c r="E462" s="18" t="n">
        <x:v>560.94</x:v>
      </x:c>
      <x:c r="F462" s="18"/>
      <x:c r="G462" s="18" t="n">
        <x:v>-560.94</x:v>
      </x:c>
      <x:c r="H462" s="18" t="n">
        <x:f>H461+G462</x:f>
        <x:v>9260232.32</x:v>
      </x:c>
    </x:row>
    <x:row r="463">
      <x:c r="A463" s="20" t="n">
        <x:v>46177</x:v>
      </x:c>
      <x:c r="B463" s="21" t="str">
        <x:v>DP-2026-027086</x:v>
      </x:c>
      <x:c r="C463" s="21" t="str">
        <x:v>ACH PAYMENT - Pena, Clayton and Ward - DP-2026-027086</x:v>
      </x:c>
      <x:c r="D463" s="21" t="str">
        <x:v>Supplier payment</x:v>
      </x:c>
      <x:c r="E463" s="18" t="n">
        <x:v>644.73</x:v>
      </x:c>
      <x:c r="F463" s="18"/>
      <x:c r="G463" s="18" t="n">
        <x:v>-644.73</x:v>
      </x:c>
      <x:c r="H463" s="18" t="n">
        <x:f>H462+G463</x:f>
        <x:v>9259587.59</x:v>
      </x:c>
    </x:row>
    <x:row r="464">
      <x:c r="A464" s="20" t="n">
        <x:v>46177</x:v>
      </x:c>
      <x:c r="B464" s="21" t="str">
        <x:v>DP-2026-027096</x:v>
      </x:c>
      <x:c r="C464" s="21" t="str">
        <x:v>ACH PAYMENT - Weeks Group - DP-2026-027096</x:v>
      </x:c>
      <x:c r="D464" s="21" t="str">
        <x:v>Supplier payment</x:v>
      </x:c>
      <x:c r="E464" s="18" t="n">
        <x:v>226.8</x:v>
      </x:c>
      <x:c r="F464" s="18"/>
      <x:c r="G464" s="18" t="n">
        <x:v>-226.8</x:v>
      </x:c>
      <x:c r="H464" s="18" t="n">
        <x:f>H463+G464</x:f>
        <x:v>9259360.79</x:v>
      </x:c>
    </x:row>
    <x:row r="465">
      <x:c r="A465" s="20" t="n">
        <x:v>46177</x:v>
      </x:c>
      <x:c r="B465" s="21" t="str">
        <x:v>DP-2026-027272</x:v>
      </x:c>
      <x:c r="C465" s="21" t="str">
        <x:v>ACH PAYMENT - Evans PLC - DP-2026-027272</x:v>
      </x:c>
      <x:c r="D465" s="21" t="str">
        <x:v>Supplier payment</x:v>
      </x:c>
      <x:c r="E465" s="18" t="n">
        <x:v>683.82</x:v>
      </x:c>
      <x:c r="F465" s="18"/>
      <x:c r="G465" s="18" t="n">
        <x:v>-683.82</x:v>
      </x:c>
      <x:c r="H465" s="18" t="n">
        <x:f>H464+G465</x:f>
        <x:v>9258676.969999999</x:v>
      </x:c>
    </x:row>
    <x:row r="466">
      <x:c r="A466" s="20" t="n">
        <x:v>46177</x:v>
      </x:c>
      <x:c r="B466" s="21" t="str">
        <x:v>DP-2026-027273</x:v>
      </x:c>
      <x:c r="C466" s="21" t="str">
        <x:v>ACH PAYMENT - Keith PLC - DP-2026-027273</x:v>
      </x:c>
      <x:c r="D466" s="21" t="str">
        <x:v>Supplier payment</x:v>
      </x:c>
      <x:c r="E466" s="18" t="n">
        <x:v>455.04</x:v>
      </x:c>
      <x:c r="F466" s="18"/>
      <x:c r="G466" s="18" t="n">
        <x:v>-455.04</x:v>
      </x:c>
      <x:c r="H466" s="18" t="n">
        <x:f>H465+G466</x:f>
        <x:v>9258221.93</x:v>
      </x:c>
    </x:row>
    <x:row r="467">
      <x:c r="A467" s="20" t="n">
        <x:v>46177</x:v>
      </x:c>
      <x:c r="B467" s="21" t="str">
        <x:v>DP-2026-027294</x:v>
      </x:c>
      <x:c r="C467" s="21" t="str">
        <x:v>ACH PAYMENT - Brooks, Johnson and Olson - DP-2026-027294</x:v>
      </x:c>
      <x:c r="D467" s="21" t="str">
        <x:v>Supplier payment</x:v>
      </x:c>
      <x:c r="E467" s="18" t="n">
        <x:v>481.59</x:v>
      </x:c>
      <x:c r="F467" s="18"/>
      <x:c r="G467" s="18" t="n">
        <x:v>-481.59</x:v>
      </x:c>
      <x:c r="H467" s="18" t="n">
        <x:f>H466+G467</x:f>
        <x:v>9257740.34</x:v>
      </x:c>
    </x:row>
    <x:row r="468">
      <x:c r="A468" s="20" t="n">
        <x:v>46177</x:v>
      </x:c>
      <x:c r="B468" s="21" t="str">
        <x:v>DP-2026-027299</x:v>
      </x:c>
      <x:c r="C468" s="21" t="str">
        <x:v>ACH PAYMENT - Fletcher Ltd - DP-2026-027299</x:v>
      </x:c>
      <x:c r="D468" s="21" t="str">
        <x:v>Supplier payment</x:v>
      </x:c>
      <x:c r="E468" s="18" t="n">
        <x:v>7963.93</x:v>
      </x:c>
      <x:c r="F468" s="18"/>
      <x:c r="G468" s="18" t="n">
        <x:v>-7963.93</x:v>
      </x:c>
      <x:c r="H468" s="18" t="n">
        <x:f>H467+G468</x:f>
        <x:v>9249776.41</x:v>
      </x:c>
    </x:row>
    <x:row r="469">
      <x:c r="A469" s="20" t="n">
        <x:v>46177</x:v>
      </x:c>
      <x:c r="B469" s="21" t="str">
        <x:v>DP-2026-027304</x:v>
      </x:c>
      <x:c r="C469" s="21" t="str">
        <x:v>ACH PAYMENT - Weeks Group - DP-2026-027304</x:v>
      </x:c>
      <x:c r="D469" s="21" t="str">
        <x:v>Supplier payment</x:v>
      </x:c>
      <x:c r="E469" s="18" t="n">
        <x:v>158.26</x:v>
      </x:c>
      <x:c r="F469" s="18"/>
      <x:c r="G469" s="18" t="n">
        <x:v>-158.26</x:v>
      </x:c>
      <x:c r="H469" s="18" t="n">
        <x:f>H468+G469</x:f>
        <x:v>9249618.15</x:v>
      </x:c>
    </x:row>
    <x:row r="470">
      <x:c r="A470" s="20" t="n">
        <x:v>46177</x:v>
      </x:c>
      <x:c r="B470" s="21" t="str">
        <x:v>DP-2026-027305</x:v>
      </x:c>
      <x:c r="C470" s="21" t="str">
        <x:v>ACH PAYMENT - Thomas, Gonzalez and Beltran - DP-2026-027305</x:v>
      </x:c>
      <x:c r="D470" s="21" t="str">
        <x:v>Supplier payment</x:v>
      </x:c>
      <x:c r="E470" s="18" t="n">
        <x:v>416.89</x:v>
      </x:c>
      <x:c r="F470" s="18"/>
      <x:c r="G470" s="18" t="n">
        <x:v>-416.89</x:v>
      </x:c>
      <x:c r="H470" s="18" t="n">
        <x:f>H469+G470</x:f>
        <x:v>9249201.26</x:v>
      </x:c>
    </x:row>
    <x:row r="471">
      <x:c r="A471" s="20" t="n">
        <x:v>46177</x:v>
      </x:c>
      <x:c r="B471" s="21" t="str">
        <x:v>DP-2026-027306</x:v>
      </x:c>
      <x:c r="C471" s="21" t="str">
        <x:v>ACH PAYMENT - Berger, Stanley and Cooper - DP-2026-027306</x:v>
      </x:c>
      <x:c r="D471" s="21" t="str">
        <x:v>Supplier payment</x:v>
      </x:c>
      <x:c r="E471" s="18" t="n">
        <x:v>378.49</x:v>
      </x:c>
      <x:c r="F471" s="18"/>
      <x:c r="G471" s="18" t="n">
        <x:v>-378.49</x:v>
      </x:c>
      <x:c r="H471" s="18" t="n">
        <x:f>H470+G471</x:f>
        <x:v>9248822.77</x:v>
      </x:c>
    </x:row>
    <x:row r="472">
      <x:c r="A472" s="20" t="n">
        <x:v>46177</x:v>
      </x:c>
      <x:c r="B472" s="21" t="str">
        <x:v>DP-2026-027319</x:v>
      </x:c>
      <x:c r="C472" s="21" t="str">
        <x:v>ACH PAYMENT - Anderson-Noble - DP-2026-027319</x:v>
      </x:c>
      <x:c r="D472" s="21" t="str">
        <x:v>Supplier payment</x:v>
      </x:c>
      <x:c r="E472" s="18" t="n">
        <x:v>672.21</x:v>
      </x:c>
      <x:c r="F472" s="18"/>
      <x:c r="G472" s="18" t="n">
        <x:v>-672.21</x:v>
      </x:c>
      <x:c r="H472" s="18" t="n">
        <x:f>H471+G472</x:f>
        <x:v>9248150.559999999</x:v>
      </x:c>
    </x:row>
    <x:row r="473">
      <x:c r="A473" s="20" t="n">
        <x:v>46177</x:v>
      </x:c>
      <x:c r="B473" s="21" t="str">
        <x:v>DP-2026-027321</x:v>
      </x:c>
      <x:c r="C473" s="21" t="str">
        <x:v>ACH PAYMENT - Hoffman LLC - DP-2026-027321</x:v>
      </x:c>
      <x:c r="D473" s="21" t="str">
        <x:v>Supplier payment</x:v>
      </x:c>
      <x:c r="E473" s="18" t="n">
        <x:v>670.23</x:v>
      </x:c>
      <x:c r="F473" s="18"/>
      <x:c r="G473" s="18" t="n">
        <x:v>-670.23</x:v>
      </x:c>
      <x:c r="H473" s="18" t="n">
        <x:f>H472+G473</x:f>
        <x:v>9247480.329999998</x:v>
      </x:c>
    </x:row>
    <x:row r="474">
      <x:c r="A474" s="20" t="n">
        <x:v>46177</x:v>
      </x:c>
      <x:c r="B474" s="21" t="str">
        <x:v>DP-2026-027322</x:v>
      </x:c>
      <x:c r="C474" s="21" t="str">
        <x:v>ACH PAYMENT - Peters, Terry and Zimmerman - DP-2026-027322</x:v>
      </x:c>
      <x:c r="D474" s="21" t="str">
        <x:v>Supplier payment</x:v>
      </x:c>
      <x:c r="E474" s="18" t="n">
        <x:v>118.01</x:v>
      </x:c>
      <x:c r="F474" s="18"/>
      <x:c r="G474" s="18" t="n">
        <x:v>-118.01</x:v>
      </x:c>
      <x:c r="H474" s="18" t="n">
        <x:f>H473+G474</x:f>
        <x:v>9247362.319999998</x:v>
      </x:c>
    </x:row>
    <x:row r="475">
      <x:c r="A475" s="20" t="n">
        <x:v>46177</x:v>
      </x:c>
      <x:c r="B475" s="21" t="str">
        <x:v>DP-2026-027330</x:v>
      </x:c>
      <x:c r="C475" s="21" t="str">
        <x:v>ACH PAYMENT - Peters, Terry and Zimmerman - DP-2026-027330</x:v>
      </x:c>
      <x:c r="D475" s="21" t="str">
        <x:v>Supplier payment</x:v>
      </x:c>
      <x:c r="E475" s="18" t="n">
        <x:v>1753.69</x:v>
      </x:c>
      <x:c r="F475" s="18"/>
      <x:c r="G475" s="18" t="n">
        <x:v>-1753.69</x:v>
      </x:c>
      <x:c r="H475" s="18" t="n">
        <x:f>H474+G475</x:f>
        <x:v>9245608.629999999</x:v>
      </x:c>
    </x:row>
    <x:row r="476">
      <x:c r="A476" s="20" t="n">
        <x:v>46177</x:v>
      </x:c>
      <x:c r="B476" s="21" t="str">
        <x:v>DP-2026-027334</x:v>
      </x:c>
      <x:c r="C476" s="21" t="str">
        <x:v>ACH PAYMENT - Wright, Sanchez and Garza - DP-2026-027334</x:v>
      </x:c>
      <x:c r="D476" s="21" t="str">
        <x:v>Supplier payment</x:v>
      </x:c>
      <x:c r="E476" s="18" t="n">
        <x:v>668.95</x:v>
      </x:c>
      <x:c r="F476" s="18"/>
      <x:c r="G476" s="18" t="n">
        <x:v>-668.95</x:v>
      </x:c>
      <x:c r="H476" s="18" t="n">
        <x:f>H475+G476</x:f>
        <x:v>9244939.68</x:v>
      </x:c>
    </x:row>
    <x:row r="477">
      <x:c r="A477" s="20" t="n">
        <x:v>46177</x:v>
      </x:c>
      <x:c r="B477" s="21" t="str">
        <x:v>DP-2026-027342</x:v>
      </x:c>
      <x:c r="C477" s="21" t="str">
        <x:v>ACH PAYMENT - Brooks, Johnson and Olson - DP-2026-027342</x:v>
      </x:c>
      <x:c r="D477" s="21" t="str">
        <x:v>Supplier payment</x:v>
      </x:c>
      <x:c r="E477" s="18" t="n">
        <x:v>18684.83</x:v>
      </x:c>
      <x:c r="F477" s="18"/>
      <x:c r="G477" s="18" t="n">
        <x:v>-18684.83</x:v>
      </x:c>
      <x:c r="H477" s="18" t="n">
        <x:f>H476+G477</x:f>
        <x:v>9226254.85</x:v>
      </x:c>
    </x:row>
    <x:row r="478">
      <x:c r="A478" s="20" t="n">
        <x:v>46177</x:v>
      </x:c>
      <x:c r="B478" s="21" t="str">
        <x:v>DP-2026-027352</x:v>
      </x:c>
      <x:c r="C478" s="21" t="str">
        <x:v>ACH PAYMENT - Hester Ltd - DP-2026-027352</x:v>
      </x:c>
      <x:c r="D478" s="21" t="str">
        <x:v>Supplier payment</x:v>
      </x:c>
      <x:c r="E478" s="18" t="n">
        <x:v>1633.07</x:v>
      </x:c>
      <x:c r="F478" s="18"/>
      <x:c r="G478" s="18" t="n">
        <x:v>-1633.07</x:v>
      </x:c>
      <x:c r="H478" s="18" t="n">
        <x:f>H477+G478</x:f>
        <x:v>9224621.78</x:v>
      </x:c>
    </x:row>
    <x:row r="479">
      <x:c r="A479" s="20" t="n">
        <x:v>46177</x:v>
      </x:c>
      <x:c r="B479" s="21" t="str">
        <x:v>DP-2026-027355</x:v>
      </x:c>
      <x:c r="C479" s="21" t="str">
        <x:v>ACH PAYMENT - Collins-Johnson - DP-2026-027355</x:v>
      </x:c>
      <x:c r="D479" s="21" t="str">
        <x:v>Supplier payment</x:v>
      </x:c>
      <x:c r="E479" s="18" t="n">
        <x:v>279</x:v>
      </x:c>
      <x:c r="F479" s="18"/>
      <x:c r="G479" s="18" t="n">
        <x:v>-279</x:v>
      </x:c>
      <x:c r="H479" s="18" t="n">
        <x:f>H478+G479</x:f>
        <x:v>9224342.78</x:v>
      </x:c>
    </x:row>
    <x:row r="480">
      <x:c r="A480" s="20" t="n">
        <x:v>46177</x:v>
      </x:c>
      <x:c r="B480" s="21" t="str">
        <x:v>DP-2026-027358</x:v>
      </x:c>
      <x:c r="C480" s="21" t="str">
        <x:v>ACH PAYMENT - Keith PLC - DP-2026-027358</x:v>
      </x:c>
      <x:c r="D480" s="21" t="str">
        <x:v>Supplier payment</x:v>
      </x:c>
      <x:c r="E480" s="18" t="n">
        <x:v>571.26</x:v>
      </x:c>
      <x:c r="F480" s="18"/>
      <x:c r="G480" s="18" t="n">
        <x:v>-571.26</x:v>
      </x:c>
      <x:c r="H480" s="18" t="n">
        <x:f>H479+G480</x:f>
        <x:v>9223771.52</x:v>
      </x:c>
    </x:row>
    <x:row r="481">
      <x:c r="A481" s="20" t="n">
        <x:v>46177</x:v>
      </x:c>
      <x:c r="B481" s="21" t="str">
        <x:v>DP-2026-027359</x:v>
      </x:c>
      <x:c r="C481" s="21" t="str">
        <x:v>ACH PAYMENT - Brooks, Johnson and Olson - DP-2026-027359</x:v>
      </x:c>
      <x:c r="D481" s="21" t="str">
        <x:v>Supplier payment</x:v>
      </x:c>
      <x:c r="E481" s="18" t="n">
        <x:v>1179.82</x:v>
      </x:c>
      <x:c r="F481" s="18"/>
      <x:c r="G481" s="18" t="n">
        <x:v>-1179.82</x:v>
      </x:c>
      <x:c r="H481" s="18" t="n">
        <x:f>H480+G481</x:f>
        <x:v>9222591.7</x:v>
      </x:c>
    </x:row>
    <x:row r="482">
      <x:c r="A482" s="20" t="n">
        <x:v>46177</x:v>
      </x:c>
      <x:c r="B482" s="21" t="str">
        <x:v>DP-2026-027360</x:v>
      </x:c>
      <x:c r="C482" s="21" t="str">
        <x:v>ACH PAYMENT - Garcia Group - DP-2026-027360</x:v>
      </x:c>
      <x:c r="D482" s="21" t="str">
        <x:v>Supplier payment</x:v>
      </x:c>
      <x:c r="E482" s="18" t="n">
        <x:v>419.74</x:v>
      </x:c>
      <x:c r="F482" s="18"/>
      <x:c r="G482" s="18" t="n">
        <x:v>-419.74</x:v>
      </x:c>
      <x:c r="H482" s="18" t="n">
        <x:f>H481+G482</x:f>
        <x:v>9222171.959999999</x:v>
      </x:c>
    </x:row>
    <x:row r="483">
      <x:c r="A483" s="20" t="n">
        <x:v>46177</x:v>
      </x:c>
      <x:c r="B483" s="21" t="str">
        <x:v>DP-2026-027369</x:v>
      </x:c>
      <x:c r="C483" s="21" t="str">
        <x:v>ACH PAYMENT - Berger, Stanley and Cooper - DP-2026-027369</x:v>
      </x:c>
      <x:c r="D483" s="21" t="str">
        <x:v>Supplier payment</x:v>
      </x:c>
      <x:c r="E483" s="18" t="n">
        <x:v>69.38</x:v>
      </x:c>
      <x:c r="F483" s="18"/>
      <x:c r="G483" s="18" t="n">
        <x:v>-69.38</x:v>
      </x:c>
      <x:c r="H483" s="18" t="n">
        <x:f>H482+G483</x:f>
        <x:v>9222102.579999998</x:v>
      </x:c>
    </x:row>
    <x:row r="484">
      <x:c r="A484" s="20" t="n">
        <x:v>46177</x:v>
      </x:c>
      <x:c r="B484" s="21" t="str">
        <x:v>DP-2026-027377</x:v>
      </x:c>
      <x:c r="C484" s="21" t="str">
        <x:v>ACH PAYMENT - Coffey Group - DP-2026-027377</x:v>
      </x:c>
      <x:c r="D484" s="21" t="str">
        <x:v>Supplier payment</x:v>
      </x:c>
      <x:c r="E484" s="18" t="n">
        <x:v>621.44</x:v>
      </x:c>
      <x:c r="F484" s="18"/>
      <x:c r="G484" s="18" t="n">
        <x:v>-621.44</x:v>
      </x:c>
      <x:c r="H484" s="18" t="n">
        <x:f>H483+G484</x:f>
        <x:v>9221481.139999999</x:v>
      </x:c>
    </x:row>
    <x:row r="485">
      <x:c r="A485" s="20" t="n">
        <x:v>46177</x:v>
      </x:c>
      <x:c r="B485" s="21" t="str">
        <x:v>DP-2026-027380</x:v>
      </x:c>
      <x:c r="C485" s="21" t="str">
        <x:v>WIRE TRANSFER PAYMENT - Hernandez PLC - DP-2026-027380</x:v>
      </x:c>
      <x:c r="D485" s="21" t="str">
        <x:v>Supplier payment</x:v>
      </x:c>
      <x:c r="E485" s="18" t="n">
        <x:v>539.88</x:v>
      </x:c>
      <x:c r="F485" s="18"/>
      <x:c r="G485" s="18" t="n">
        <x:v>-539.88</x:v>
      </x:c>
      <x:c r="H485" s="18" t="n">
        <x:f>H484+G485</x:f>
        <x:v>9220941.259999998</x:v>
      </x:c>
    </x:row>
    <x:row r="486">
      <x:c r="A486" s="20" t="n">
        <x:v>46177</x:v>
      </x:c>
      <x:c r="B486" s="21" t="str">
        <x:v>DP-2026-027381</x:v>
      </x:c>
      <x:c r="C486" s="21" t="str">
        <x:v>ACH PAYMENT - Hernandez PLC - DP-2026-027381</x:v>
      </x:c>
      <x:c r="D486" s="21" t="str">
        <x:v>Supplier payment</x:v>
      </x:c>
      <x:c r="E486" s="18" t="n">
        <x:v>1066.36</x:v>
      </x:c>
      <x:c r="F486" s="18"/>
      <x:c r="G486" s="18" t="n">
        <x:v>-1066.36</x:v>
      </x:c>
      <x:c r="H486" s="18" t="n">
        <x:f>H485+G486</x:f>
        <x:v>9219874.899999999</x:v>
      </x:c>
    </x:row>
    <x:row r="487">
      <x:c r="A487" s="20" t="n">
        <x:v>46177</x:v>
      </x:c>
      <x:c r="B487" s="21" t="str">
        <x:v>DP-2026-027386</x:v>
      </x:c>
      <x:c r="C487" s="21" t="str">
        <x:v>ACH PAYMENT - Duran, Mccarthy and Myers - DP-2026-027386</x:v>
      </x:c>
      <x:c r="D487" s="21" t="str">
        <x:v>Supplier payment</x:v>
      </x:c>
      <x:c r="E487" s="18" t="n">
        <x:v>357.76</x:v>
      </x:c>
      <x:c r="F487" s="18"/>
      <x:c r="G487" s="18" t="n">
        <x:v>-357.76</x:v>
      </x:c>
      <x:c r="H487" s="18" t="n">
        <x:f>H486+G487</x:f>
        <x:v>9219517.139999999</x:v>
      </x:c>
    </x:row>
    <x:row r="488">
      <x:c r="A488" s="20" t="n">
        <x:v>46177</x:v>
      </x:c>
      <x:c r="B488" s="21" t="str">
        <x:v>DP-2026-027387</x:v>
      </x:c>
      <x:c r="C488" s="21" t="str">
        <x:v>ACH PAYMENT - Hale-Hart - DP-2026-027387</x:v>
      </x:c>
      <x:c r="D488" s="21" t="str">
        <x:v>Supplier payment</x:v>
      </x:c>
      <x:c r="E488" s="18" t="n">
        <x:v>256</x:v>
      </x:c>
      <x:c r="F488" s="18"/>
      <x:c r="G488" s="18" t="n">
        <x:v>-256</x:v>
      </x:c>
      <x:c r="H488" s="18" t="n">
        <x:f>H487+G488</x:f>
        <x:v>9219261.139999999</x:v>
      </x:c>
    </x:row>
    <x:row r="489">
      <x:c r="A489" s="20" t="n">
        <x:v>46177</x:v>
      </x:c>
      <x:c r="B489" s="21" t="str">
        <x:v>DP-2026-027397</x:v>
      </x:c>
      <x:c r="C489" s="21" t="str">
        <x:v>WIRE TRANSFER PAYMENT - Watson, Mitchell and Chen - DP-2026-027397</x:v>
      </x:c>
      <x:c r="D489" s="21" t="str">
        <x:v>Supplier payment</x:v>
      </x:c>
      <x:c r="E489" s="18" t="n">
        <x:v>1545.29</x:v>
      </x:c>
      <x:c r="F489" s="18"/>
      <x:c r="G489" s="18" t="n">
        <x:v>-1545.29</x:v>
      </x:c>
      <x:c r="H489" s="18" t="n">
        <x:f>H488+G489</x:f>
        <x:v>9217715.85</x:v>
      </x:c>
    </x:row>
    <x:row r="490">
      <x:c r="A490" s="20" t="n">
        <x:v>46177</x:v>
      </x:c>
      <x:c r="B490" s="21" t="str">
        <x:v>DP-2026-027399</x:v>
      </x:c>
      <x:c r="C490" s="21" t="str">
        <x:v>ACH PAYMENT - Lindsey and Sons - DP-2026-027399</x:v>
      </x:c>
      <x:c r="D490" s="21" t="str">
        <x:v>Supplier payment</x:v>
      </x:c>
      <x:c r="E490" s="18" t="n">
        <x:v>47.14</x:v>
      </x:c>
      <x:c r="F490" s="18"/>
      <x:c r="G490" s="18" t="n">
        <x:v>-47.14</x:v>
      </x:c>
      <x:c r="H490" s="18" t="n">
        <x:f>H489+G490</x:f>
        <x:v>9217668.709999999</x:v>
      </x:c>
    </x:row>
    <x:row r="491">
      <x:c r="A491" s="20" t="n">
        <x:v>46177</x:v>
      </x:c>
      <x:c r="B491" s="21" t="str">
        <x:v>DP-2026-027406</x:v>
      </x:c>
      <x:c r="C491" s="21" t="str">
        <x:v>ACH PAYMENT - Collins-Johnson - DP-2026-027406</x:v>
      </x:c>
      <x:c r="D491" s="21" t="str">
        <x:v>Supplier payment</x:v>
      </x:c>
      <x:c r="E491" s="18" t="n">
        <x:v>673.92</x:v>
      </x:c>
      <x:c r="F491" s="18"/>
      <x:c r="G491" s="18" t="n">
        <x:v>-673.92</x:v>
      </x:c>
      <x:c r="H491" s="18" t="n">
        <x:f>H490+G491</x:f>
        <x:v>9216994.79</x:v>
      </x:c>
    </x:row>
    <x:row r="492">
      <x:c r="A492" s="20" t="n">
        <x:v>46177</x:v>
      </x:c>
      <x:c r="B492" s="21" t="str">
        <x:v>DP-2026-027425</x:v>
      </x:c>
      <x:c r="C492" s="21" t="str">
        <x:v>ACH PAYMENT - Boone-Benton - DP-2026-027425</x:v>
      </x:c>
      <x:c r="D492" s="21" t="str">
        <x:v>Supplier payment</x:v>
      </x:c>
      <x:c r="E492" s="18" t="n">
        <x:v>1735.82</x:v>
      </x:c>
      <x:c r="F492" s="18"/>
      <x:c r="G492" s="18" t="n">
        <x:v>-1735.82</x:v>
      </x:c>
      <x:c r="H492" s="18" t="n">
        <x:f>H491+G492</x:f>
        <x:v>9215258.969999999</x:v>
      </x:c>
    </x:row>
    <x:row r="493">
      <x:c r="A493" s="20" t="n">
        <x:v>46177</x:v>
      </x:c>
      <x:c r="B493" s="21" t="str">
        <x:v>DP-2026-027433</x:v>
      </x:c>
      <x:c r="C493" s="21" t="str">
        <x:v>WIRE TRANSFER PAYMENT - Powers-Daniels - DP-2026-027433</x:v>
      </x:c>
      <x:c r="D493" s="21" t="str">
        <x:v>Supplier payment</x:v>
      </x:c>
      <x:c r="E493" s="18" t="n">
        <x:v>302.18</x:v>
      </x:c>
      <x:c r="F493" s="18"/>
      <x:c r="G493" s="18" t="n">
        <x:v>-302.18</x:v>
      </x:c>
      <x:c r="H493" s="18" t="n">
        <x:f>H492+G493</x:f>
        <x:v>9214956.79</x:v>
      </x:c>
    </x:row>
    <x:row r="494">
      <x:c r="A494" s="20" t="n">
        <x:v>46177</x:v>
      </x:c>
      <x:c r="B494" s="21" t="str">
        <x:v>DP-2026-027437</x:v>
      </x:c>
      <x:c r="C494" s="21" t="str">
        <x:v>ACH PAYMENT - Turner PLC - DP-2026-027437</x:v>
      </x:c>
      <x:c r="D494" s="21" t="str">
        <x:v>Supplier payment</x:v>
      </x:c>
      <x:c r="E494" s="18" t="n">
        <x:v>597.12</x:v>
      </x:c>
      <x:c r="F494" s="18"/>
      <x:c r="G494" s="18" t="n">
        <x:v>-597.12</x:v>
      </x:c>
      <x:c r="H494" s="18" t="n">
        <x:f>H493+G494</x:f>
        <x:v>9214359.67</x:v>
      </x:c>
    </x:row>
    <x:row r="495">
      <x:c r="A495" s="20" t="n">
        <x:v>46177</x:v>
      </x:c>
      <x:c r="B495" s="21" t="str">
        <x:v>DP-2026-027440</x:v>
      </x:c>
      <x:c r="C495" s="21" t="str">
        <x:v>ACH PAYMENT - Garcia Group - DP-2026-027440</x:v>
      </x:c>
      <x:c r="D495" s="21" t="str">
        <x:v>Supplier payment</x:v>
      </x:c>
      <x:c r="E495" s="18" t="n">
        <x:v>556.36</x:v>
      </x:c>
      <x:c r="F495" s="18"/>
      <x:c r="G495" s="18" t="n">
        <x:v>-556.36</x:v>
      </x:c>
      <x:c r="H495" s="18" t="n">
        <x:f>H494+G495</x:f>
        <x:v>9213803.31</x:v>
      </x:c>
    </x:row>
    <x:row r="496">
      <x:c r="A496" s="20" t="n">
        <x:v>46177</x:v>
      </x:c>
      <x:c r="B496" s="21" t="str">
        <x:v>DP-2026-027444</x:v>
      </x:c>
      <x:c r="C496" s="21" t="str">
        <x:v>ACH PAYMENT - Hale-Hart - DP-2026-027444</x:v>
      </x:c>
      <x:c r="D496" s="21" t="str">
        <x:v>Supplier payment</x:v>
      </x:c>
      <x:c r="E496" s="18" t="n">
        <x:v>3166.92</x:v>
      </x:c>
      <x:c r="F496" s="18"/>
      <x:c r="G496" s="18" t="n">
        <x:v>-3166.92</x:v>
      </x:c>
      <x:c r="H496" s="18" t="n">
        <x:f>H495+G496</x:f>
        <x:v>9210636.39</x:v>
      </x:c>
    </x:row>
    <x:row r="497">
      <x:c r="A497" s="20" t="n">
        <x:v>46177</x:v>
      </x:c>
      <x:c r="B497" s="21" t="str">
        <x:v>DP-2026-027452</x:v>
      </x:c>
      <x:c r="C497" s="21" t="str">
        <x:v>ACH PAYMENT - Brooks, Johnson and Olson - DP-2026-027452</x:v>
      </x:c>
      <x:c r="D497" s="21" t="str">
        <x:v>Supplier payment</x:v>
      </x:c>
      <x:c r="E497" s="18" t="n">
        <x:v>64.55</x:v>
      </x:c>
      <x:c r="F497" s="18"/>
      <x:c r="G497" s="18" t="n">
        <x:v>-64.55</x:v>
      </x:c>
      <x:c r="H497" s="18" t="n">
        <x:f>H496+G497</x:f>
        <x:v>9210571.84</x:v>
      </x:c>
    </x:row>
    <x:row r="498">
      <x:c r="A498" s="20" t="n">
        <x:v>46177</x:v>
      </x:c>
      <x:c r="B498" s="21" t="str">
        <x:v>DP-2026-027453</x:v>
      </x:c>
      <x:c r="C498" s="21" t="str">
        <x:v>ACH PAYMENT - Velasquez-Baxter - DP-2026-027453</x:v>
      </x:c>
      <x:c r="D498" s="21" t="str">
        <x:v>Supplier payment</x:v>
      </x:c>
      <x:c r="E498" s="18" t="n">
        <x:v>109.8</x:v>
      </x:c>
      <x:c r="F498" s="18"/>
      <x:c r="G498" s="18" t="n">
        <x:v>-109.8</x:v>
      </x:c>
      <x:c r="H498" s="18" t="n">
        <x:f>H497+G498</x:f>
        <x:v>9210462.04</x:v>
      </x:c>
    </x:row>
    <x:row r="499">
      <x:c r="A499" s="20" t="n">
        <x:v>46177</x:v>
      </x:c>
      <x:c r="B499" s="21" t="str">
        <x:v>DP-2026-027455</x:v>
      </x:c>
      <x:c r="C499" s="21" t="str">
        <x:v>ACH PAYMENT - Keith PLC - DP-2026-027455</x:v>
      </x:c>
      <x:c r="D499" s="21" t="str">
        <x:v>Supplier payment</x:v>
      </x:c>
      <x:c r="E499" s="18" t="n">
        <x:v>730.12</x:v>
      </x:c>
      <x:c r="F499" s="18"/>
      <x:c r="G499" s="18" t="n">
        <x:v>-730.12</x:v>
      </x:c>
      <x:c r="H499" s="18" t="n">
        <x:f>H498+G499</x:f>
        <x:v>9209731.92</x:v>
      </x:c>
    </x:row>
    <x:row r="500">
      <x:c r="A500" s="20" t="n">
        <x:v>46177</x:v>
      </x:c>
      <x:c r="B500" s="21" t="str">
        <x:v>DP-2026-027458</x:v>
      </x:c>
      <x:c r="C500" s="21" t="str">
        <x:v>ACH PAYMENT - Cross, Alexander and Romero - DP-2026-027458</x:v>
      </x:c>
      <x:c r="D500" s="21" t="str">
        <x:v>Supplier payment</x:v>
      </x:c>
      <x:c r="E500" s="18" t="n">
        <x:v>106</x:v>
      </x:c>
      <x:c r="F500" s="18"/>
      <x:c r="G500" s="18" t="n">
        <x:v>-106</x:v>
      </x:c>
      <x:c r="H500" s="18" t="n">
        <x:f>H499+G500</x:f>
        <x:v>9209625.92</x:v>
      </x:c>
    </x:row>
    <x:row r="501">
      <x:c r="A501" s="20" t="n">
        <x:v>46177</x:v>
      </x:c>
      <x:c r="B501" s="21" t="str">
        <x:v>DP-2026-027459</x:v>
      </x:c>
      <x:c r="C501" s="21" t="str">
        <x:v>ACH PAYMENT - Nguyen-Davis - DP-2026-027459</x:v>
      </x:c>
      <x:c r="D501" s="21" t="str">
        <x:v>Supplier payment</x:v>
      </x:c>
      <x:c r="E501" s="18" t="n">
        <x:v>464.95</x:v>
      </x:c>
      <x:c r="F501" s="18"/>
      <x:c r="G501" s="18" t="n">
        <x:v>-464.95</x:v>
      </x:c>
      <x:c r="H501" s="18" t="n">
        <x:f>H500+G501</x:f>
        <x:v>9209160.97</x:v>
      </x:c>
    </x:row>
    <x:row r="502">
      <x:c r="A502" s="20" t="n">
        <x:v>46177</x:v>
      </x:c>
      <x:c r="B502" s="21" t="str">
        <x:v>DP-2026-027482</x:v>
      </x:c>
      <x:c r="C502" s="21" t="str">
        <x:v>ACH PAYMENT - Nelson-Rocha - DP-2026-027482</x:v>
      </x:c>
      <x:c r="D502" s="21" t="str">
        <x:v>Supplier payment</x:v>
      </x:c>
      <x:c r="E502" s="18" t="n">
        <x:v>1.59</x:v>
      </x:c>
      <x:c r="F502" s="18"/>
      <x:c r="G502" s="18" t="n">
        <x:v>-1.59</x:v>
      </x:c>
      <x:c r="H502" s="18" t="n">
        <x:f>H501+G502</x:f>
        <x:v>9209159.38</x:v>
      </x:c>
    </x:row>
    <x:row r="503">
      <x:c r="A503" s="20" t="n">
        <x:v>46177</x:v>
      </x:c>
      <x:c r="B503" s="21" t="str">
        <x:v>DP-2026-027484</x:v>
      </x:c>
      <x:c r="C503" s="21" t="str">
        <x:v>ACH PAYMENT - Keith PLC - DP-2026-027484</x:v>
      </x:c>
      <x:c r="D503" s="21" t="str">
        <x:v>Supplier payment</x:v>
      </x:c>
      <x:c r="E503" s="18" t="n">
        <x:v>953.33</x:v>
      </x:c>
      <x:c r="F503" s="18"/>
      <x:c r="G503" s="18" t="n">
        <x:v>-953.33</x:v>
      </x:c>
      <x:c r="H503" s="18" t="n">
        <x:f>H502+G503</x:f>
        <x:v>9208206.05</x:v>
      </x:c>
    </x:row>
    <x:row r="504">
      <x:c r="A504" s="20" t="n">
        <x:v>46177</x:v>
      </x:c>
      <x:c r="B504" s="21" t="str">
        <x:v>DP-2026-027493</x:v>
      </x:c>
      <x:c r="C504" s="21" t="str">
        <x:v>ACH PAYMENT - Rodriguez, Goodman and Lee - DP-2026-027493</x:v>
      </x:c>
      <x:c r="D504" s="21" t="str">
        <x:v>Supplier payment</x:v>
      </x:c>
      <x:c r="E504" s="18" t="n">
        <x:v>660.84</x:v>
      </x:c>
      <x:c r="F504" s="18"/>
      <x:c r="G504" s="18" t="n">
        <x:v>-660.84</x:v>
      </x:c>
      <x:c r="H504" s="18" t="n">
        <x:f>H503+G504</x:f>
        <x:v>9207545.21</x:v>
      </x:c>
    </x:row>
    <x:row r="505">
      <x:c r="A505" s="20" t="n">
        <x:v>46177</x:v>
      </x:c>
      <x:c r="B505" s="21" t="str">
        <x:v>DP-2026-027501</x:v>
      </x:c>
      <x:c r="C505" s="21" t="str">
        <x:v>WIRE TRANSFER PAYMENT - Brown-Owens - DP-2026-027501</x:v>
      </x:c>
      <x:c r="D505" s="21" t="str">
        <x:v>Supplier payment</x:v>
      </x:c>
      <x:c r="E505" s="18" t="n">
        <x:v>47.31</x:v>
      </x:c>
      <x:c r="F505" s="18"/>
      <x:c r="G505" s="18" t="n">
        <x:v>-47.31</x:v>
      </x:c>
      <x:c r="H505" s="18" t="n">
        <x:f>H504+G505</x:f>
        <x:v>9207497.9</x:v>
      </x:c>
    </x:row>
    <x:row r="506">
      <x:c r="A506" s="20" t="n">
        <x:v>46177</x:v>
      </x:c>
      <x:c r="B506" s="21" t="str">
        <x:v>DP-2026-027503</x:v>
      </x:c>
      <x:c r="C506" s="21" t="str">
        <x:v>WIRE TRANSFER PAYMENT - Watts-Strickland - DP-2026-027503</x:v>
      </x:c>
      <x:c r="D506" s="21" t="str">
        <x:v>Supplier payment</x:v>
      </x:c>
      <x:c r="E506" s="18" t="n">
        <x:v>212.11</x:v>
      </x:c>
      <x:c r="F506" s="18"/>
      <x:c r="G506" s="18" t="n">
        <x:v>-212.11</x:v>
      </x:c>
      <x:c r="H506" s="18" t="n">
        <x:f>H505+G506</x:f>
        <x:v>9207285.790000001</x:v>
      </x:c>
    </x:row>
    <x:row r="507">
      <x:c r="A507" s="20" t="n">
        <x:v>46177</x:v>
      </x:c>
      <x:c r="B507" s="21" t="str">
        <x:v>DP-2026-027504</x:v>
      </x:c>
      <x:c r="C507" s="21" t="str">
        <x:v>ACH PAYMENT - Goodwin, Walker and Scott - DP-2026-027504</x:v>
      </x:c>
      <x:c r="D507" s="21" t="str">
        <x:v>Supplier payment</x:v>
      </x:c>
      <x:c r="E507" s="18" t="n">
        <x:v>631.6</x:v>
      </x:c>
      <x:c r="F507" s="18"/>
      <x:c r="G507" s="18" t="n">
        <x:v>-631.6</x:v>
      </x:c>
      <x:c r="H507" s="18" t="n">
        <x:f>H506+G507</x:f>
        <x:v>9206654.190000001</x:v>
      </x:c>
    </x:row>
    <x:row r="508">
      <x:c r="A508" s="20" t="n">
        <x:v>46177</x:v>
      </x:c>
      <x:c r="B508" s="21" t="str">
        <x:v>DP-2026-027506</x:v>
      </x:c>
      <x:c r="C508" s="21" t="str">
        <x:v>ACH PAYMENT - Nguyen-Weaver - DP-2026-027506</x:v>
      </x:c>
      <x:c r="D508" s="21" t="str">
        <x:v>Supplier payment</x:v>
      </x:c>
      <x:c r="E508" s="18" t="n">
        <x:v>1695.99</x:v>
      </x:c>
      <x:c r="F508" s="18"/>
      <x:c r="G508" s="18" t="n">
        <x:v>-1695.99</x:v>
      </x:c>
      <x:c r="H508" s="18" t="n">
        <x:f>H507+G508</x:f>
        <x:v>9204958.200000001</x:v>
      </x:c>
    </x:row>
    <x:row r="509">
      <x:c r="A509" s="20" t="n">
        <x:v>46177</x:v>
      </x:c>
      <x:c r="B509" s="21" t="str">
        <x:v>DP-2026-027528</x:v>
      </x:c>
      <x:c r="C509" s="21" t="str">
        <x:v>ACH PAYMENT - Martinez, Green and Gentry - DP-2026-027528</x:v>
      </x:c>
      <x:c r="D509" s="21" t="str">
        <x:v>Supplier payment</x:v>
      </x:c>
      <x:c r="E509" s="18" t="n">
        <x:v>305.26</x:v>
      </x:c>
      <x:c r="F509" s="18"/>
      <x:c r="G509" s="18" t="n">
        <x:v>-305.26</x:v>
      </x:c>
      <x:c r="H509" s="18" t="n">
        <x:f>H508+G509</x:f>
        <x:v>9204652.940000001</x:v>
      </x:c>
    </x:row>
    <x:row r="510">
      <x:c r="A510" s="20" t="n">
        <x:v>46177</x:v>
      </x:c>
      <x:c r="B510" s="21" t="str">
        <x:v>DP-2026-027530</x:v>
      </x:c>
      <x:c r="C510" s="21" t="str">
        <x:v>ACH PAYMENT - Hernandez, Melendez and Mcdowell - DP-2026-027530</x:v>
      </x:c>
      <x:c r="D510" s="21" t="str">
        <x:v>Supplier payment</x:v>
      </x:c>
      <x:c r="E510" s="18" t="n">
        <x:v>108.6</x:v>
      </x:c>
      <x:c r="F510" s="18"/>
      <x:c r="G510" s="18" t="n">
        <x:v>-108.6</x:v>
      </x:c>
      <x:c r="H510" s="18" t="n">
        <x:f>H509+G510</x:f>
        <x:v>9204544.340000002</x:v>
      </x:c>
    </x:row>
    <x:row r="511">
      <x:c r="A511" s="20" t="n">
        <x:v>46177</x:v>
      </x:c>
      <x:c r="B511" s="21" t="str">
        <x:v>DP-2026-027536</x:v>
      </x:c>
      <x:c r="C511" s="21" t="str">
        <x:v>ACH PAYMENT - Hester Ltd - DP-2026-027536</x:v>
      </x:c>
      <x:c r="D511" s="21" t="str">
        <x:v>Supplier payment</x:v>
      </x:c>
      <x:c r="E511" s="18" t="n">
        <x:v>50.37</x:v>
      </x:c>
      <x:c r="F511" s="18"/>
      <x:c r="G511" s="18" t="n">
        <x:v>-50.37</x:v>
      </x:c>
      <x:c r="H511" s="18" t="n">
        <x:f>H510+G511</x:f>
        <x:v>9204493.970000003</x:v>
      </x:c>
    </x:row>
    <x:row r="512">
      <x:c r="A512" s="20" t="n">
        <x:v>46177</x:v>
      </x:c>
      <x:c r="B512" s="21" t="str">
        <x:v>DP-2026-027541</x:v>
      </x:c>
      <x:c r="C512" s="21" t="str">
        <x:v>ACH PAYMENT - Fletcher Ltd - DP-2026-027541</x:v>
      </x:c>
      <x:c r="D512" s="21" t="str">
        <x:v>Supplier payment</x:v>
      </x:c>
      <x:c r="E512" s="18" t="n">
        <x:v>152.48</x:v>
      </x:c>
      <x:c r="F512" s="18"/>
      <x:c r="G512" s="18" t="n">
        <x:v>-152.48</x:v>
      </x:c>
      <x:c r="H512" s="18" t="n">
        <x:f>H511+G512</x:f>
        <x:v>9204341.490000002</x:v>
      </x:c>
    </x:row>
    <x:row r="513">
      <x:c r="A513" s="20" t="n">
        <x:v>46177</x:v>
      </x:c>
      <x:c r="B513" s="21" t="str">
        <x:v>DP-2026-027550</x:v>
      </x:c>
      <x:c r="C513" s="21" t="str">
        <x:v>ACH PAYMENT - Weeks Group - DP-2026-027550</x:v>
      </x:c>
      <x:c r="D513" s="21" t="str">
        <x:v>Supplier payment</x:v>
      </x:c>
      <x:c r="E513" s="18" t="n">
        <x:v>41.77</x:v>
      </x:c>
      <x:c r="F513" s="18"/>
      <x:c r="G513" s="18" t="n">
        <x:v>-41.77</x:v>
      </x:c>
      <x:c r="H513" s="18" t="n">
        <x:f>H512+G513</x:f>
        <x:v>9204299.720000003</x:v>
      </x:c>
    </x:row>
    <x:row r="514">
      <x:c r="A514" s="20" t="n">
        <x:v>46177</x:v>
      </x:c>
      <x:c r="B514" s="21" t="str">
        <x:v>DP-2026-027551</x:v>
      </x:c>
      <x:c r="C514" s="21" t="str">
        <x:v>ACH PAYMENT - Watson, Mitchell and Chen - DP-2026-027551</x:v>
      </x:c>
      <x:c r="D514" s="21" t="str">
        <x:v>Supplier payment</x:v>
      </x:c>
      <x:c r="E514" s="18" t="n">
        <x:v>768.36</x:v>
      </x:c>
      <x:c r="F514" s="18"/>
      <x:c r="G514" s="18" t="n">
        <x:v>-768.36</x:v>
      </x:c>
      <x:c r="H514" s="18" t="n">
        <x:f>H513+G514</x:f>
        <x:v>9203531.360000003</x:v>
      </x:c>
    </x:row>
    <x:row r="515">
      <x:c r="A515" s="20" t="n">
        <x:v>46177</x:v>
      </x:c>
      <x:c r="B515" s="21" t="str">
        <x:v>DP-2026-027552</x:v>
      </x:c>
      <x:c r="C515" s="21" t="str">
        <x:v>ACH PAYMENT - Powell Inc - DP-2026-027552</x:v>
      </x:c>
      <x:c r="D515" s="21" t="str">
        <x:v>Supplier payment</x:v>
      </x:c>
      <x:c r="E515" s="18" t="n">
        <x:v>750.2</x:v>
      </x:c>
      <x:c r="F515" s="18"/>
      <x:c r="G515" s="18" t="n">
        <x:v>-750.2</x:v>
      </x:c>
      <x:c r="H515" s="18" t="n">
        <x:f>H514+G515</x:f>
        <x:v>9202781.160000004</x:v>
      </x:c>
    </x:row>
    <x:row r="516">
      <x:c r="A516" s="20" t="n">
        <x:v>46177</x:v>
      </x:c>
      <x:c r="B516" s="21" t="str">
        <x:v>DP-2026-027555</x:v>
      </x:c>
      <x:c r="C516" s="21" t="str">
        <x:v>ACH PAYMENT - Morris-Taylor - DP-2026-027555</x:v>
      </x:c>
      <x:c r="D516" s="21" t="str">
        <x:v>Supplier payment</x:v>
      </x:c>
      <x:c r="E516" s="18" t="n">
        <x:v>334.92</x:v>
      </x:c>
      <x:c r="F516" s="18"/>
      <x:c r="G516" s="18" t="n">
        <x:v>-334.92</x:v>
      </x:c>
      <x:c r="H516" s="18" t="n">
        <x:f>H515+G516</x:f>
        <x:v>9202446.240000004</x:v>
      </x:c>
    </x:row>
    <x:row r="517">
      <x:c r="A517" s="20" t="n">
        <x:v>46177</x:v>
      </x:c>
      <x:c r="B517" s="21" t="str">
        <x:v>DP-2026-027567</x:v>
      </x:c>
      <x:c r="C517" s="21" t="str">
        <x:v>ACH PAYMENT - Thomas LLC - DP-2026-027567</x:v>
      </x:c>
      <x:c r="D517" s="21" t="str">
        <x:v>Supplier payment</x:v>
      </x:c>
      <x:c r="E517" s="18" t="n">
        <x:v>242.55</x:v>
      </x:c>
      <x:c r="F517" s="18"/>
      <x:c r="G517" s="18" t="n">
        <x:v>-242.55</x:v>
      </x:c>
      <x:c r="H517" s="18" t="n">
        <x:f>H516+G517</x:f>
        <x:v>9202203.690000003</x:v>
      </x:c>
    </x:row>
    <x:row r="518">
      <x:c r="A518" s="20" t="n">
        <x:v>46177</x:v>
      </x:c>
      <x:c r="B518" s="21" t="str">
        <x:v>DP-2026-027568</x:v>
      </x:c>
      <x:c r="C518" s="21" t="str">
        <x:v>ACH PAYMENT - Chambers PLC - DP-2026-027568</x:v>
      </x:c>
      <x:c r="D518" s="21" t="str">
        <x:v>Supplier payment</x:v>
      </x:c>
      <x:c r="E518" s="18" t="n">
        <x:v>1166.87</x:v>
      </x:c>
      <x:c r="F518" s="18"/>
      <x:c r="G518" s="18" t="n">
        <x:v>-1166.87</x:v>
      </x:c>
      <x:c r="H518" s="18" t="n">
        <x:f>H517+G518</x:f>
        <x:v>9201036.820000004</x:v>
      </x:c>
    </x:row>
    <x:row r="519">
      <x:c r="A519" s="20" t="n">
        <x:v>46177</x:v>
      </x:c>
      <x:c r="B519" s="21" t="str">
        <x:v>DP-2026-027583</x:v>
      </x:c>
      <x:c r="C519" s="21" t="str">
        <x:v>ACH PAYMENT - Hernandez, Melendez and Mcdowell - DP-2026-027583</x:v>
      </x:c>
      <x:c r="D519" s="21" t="str">
        <x:v>Supplier payment</x:v>
      </x:c>
      <x:c r="E519" s="18" t="n">
        <x:v>682.35</x:v>
      </x:c>
      <x:c r="F519" s="18"/>
      <x:c r="G519" s="18" t="n">
        <x:v>-682.35</x:v>
      </x:c>
      <x:c r="H519" s="18" t="n">
        <x:f>H518+G519</x:f>
        <x:v>9200354.470000004</x:v>
      </x:c>
    </x:row>
    <x:row r="520">
      <x:c r="A520" s="20" t="n">
        <x:v>46177</x:v>
      </x:c>
      <x:c r="B520" s="21" t="str">
        <x:v>DP-2026-027584</x:v>
      </x:c>
      <x:c r="C520" s="21" t="str">
        <x:v>ACH PAYMENT - Lucas, Green and Richardson - DP-2026-027584</x:v>
      </x:c>
      <x:c r="D520" s="21" t="str">
        <x:v>Supplier payment</x:v>
      </x:c>
      <x:c r="E520" s="18" t="n">
        <x:v>516.93</x:v>
      </x:c>
      <x:c r="F520" s="18"/>
      <x:c r="G520" s="18" t="n">
        <x:v>-516.93</x:v>
      </x:c>
      <x:c r="H520" s="18" t="n">
        <x:f>H519+G520</x:f>
        <x:v>9199837.540000005</x:v>
      </x:c>
    </x:row>
    <x:row r="521">
      <x:c r="A521" s="20" t="n">
        <x:v>46177</x:v>
      </x:c>
      <x:c r="B521" s="21" t="str">
        <x:v>DP-2026-027585</x:v>
      </x:c>
      <x:c r="C521" s="21" t="str">
        <x:v>ACH PAYMENT - Dennis PLC - DP-2026-027585</x:v>
      </x:c>
      <x:c r="D521" s="21" t="str">
        <x:v>Supplier payment</x:v>
      </x:c>
      <x:c r="E521" s="18" t="n">
        <x:v>997.7</x:v>
      </x:c>
      <x:c r="F521" s="18"/>
      <x:c r="G521" s="18" t="n">
        <x:v>-997.7</x:v>
      </x:c>
      <x:c r="H521" s="18" t="n">
        <x:f>H520+G521</x:f>
        <x:v>9198839.840000005</x:v>
      </x:c>
    </x:row>
    <x:row r="522">
      <x:c r="A522" s="20" t="n">
        <x:v>46177</x:v>
      </x:c>
      <x:c r="B522" s="21" t="str">
        <x:v>DP-2026-027587</x:v>
      </x:c>
      <x:c r="C522" s="21" t="str">
        <x:v>ACH PAYMENT - Coleman-Moore - DP-2026-027587</x:v>
      </x:c>
      <x:c r="D522" s="21" t="str">
        <x:v>Supplier payment</x:v>
      </x:c>
      <x:c r="E522" s="18" t="n">
        <x:v>408.15</x:v>
      </x:c>
      <x:c r="F522" s="18"/>
      <x:c r="G522" s="18" t="n">
        <x:v>-408.15</x:v>
      </x:c>
      <x:c r="H522" s="18" t="n">
        <x:f>H521+G522</x:f>
        <x:v>9198431.690000005</x:v>
      </x:c>
    </x:row>
    <x:row r="523">
      <x:c r="A523" s="20" t="n">
        <x:v>46177</x:v>
      </x:c>
      <x:c r="B523" s="21" t="str">
        <x:v>DP-2026-027594</x:v>
      </x:c>
      <x:c r="C523" s="21" t="str">
        <x:v>WIRE TRANSFER PAYMENT - Hester Ltd - DP-2026-027594</x:v>
      </x:c>
      <x:c r="D523" s="21" t="str">
        <x:v>Supplier payment</x:v>
      </x:c>
      <x:c r="E523" s="18" t="n">
        <x:v>151.52</x:v>
      </x:c>
      <x:c r="F523" s="18"/>
      <x:c r="G523" s="18" t="n">
        <x:v>-151.52</x:v>
      </x:c>
      <x:c r="H523" s="18" t="n">
        <x:f>H522+G523</x:f>
        <x:v>9198280.170000006</x:v>
      </x:c>
    </x:row>
    <x:row r="524">
      <x:c r="A524" s="20" t="n">
        <x:v>46177</x:v>
      </x:c>
      <x:c r="B524" s="21" t="str">
        <x:v>DP-2026-027601</x:v>
      </x:c>
      <x:c r="C524" s="21" t="str">
        <x:v>ACH PAYMENT - Bell, Pruitt and David - DP-2026-027601</x:v>
      </x:c>
      <x:c r="D524" s="21" t="str">
        <x:v>Supplier payment</x:v>
      </x:c>
      <x:c r="E524" s="18" t="n">
        <x:v>942.37</x:v>
      </x:c>
      <x:c r="F524" s="18"/>
      <x:c r="G524" s="18" t="n">
        <x:v>-942.37</x:v>
      </x:c>
      <x:c r="H524" s="18" t="n">
        <x:f>H523+G524</x:f>
        <x:v>9197337.800000006</x:v>
      </x:c>
    </x:row>
    <x:row r="525">
      <x:c r="A525" s="20" t="n">
        <x:v>46177</x:v>
      </x:c>
      <x:c r="B525" s="21" t="str">
        <x:v>DP-2026-027611</x:v>
      </x:c>
      <x:c r="C525" s="21" t="str">
        <x:v>ACH PAYMENT - Berger, Stanley and Cooper - DP-2026-027611</x:v>
      </x:c>
      <x:c r="D525" s="21" t="str">
        <x:v>Supplier payment</x:v>
      </x:c>
      <x:c r="E525" s="18" t="n">
        <x:v>217.18</x:v>
      </x:c>
      <x:c r="F525" s="18"/>
      <x:c r="G525" s="18" t="n">
        <x:v>-217.18</x:v>
      </x:c>
      <x:c r="H525" s="18" t="n">
        <x:f>H524+G525</x:f>
        <x:v>9197120.620000007</x:v>
      </x:c>
    </x:row>
    <x:row r="526">
      <x:c r="A526" s="20" t="n">
        <x:v>46177</x:v>
      </x:c>
      <x:c r="B526" s="21" t="str">
        <x:v>DP-2026-027612</x:v>
      </x:c>
      <x:c r="C526" s="21" t="str">
        <x:v>ACH PAYMENT - Fletcher Ltd - DP-2026-027612</x:v>
      </x:c>
      <x:c r="D526" s="21" t="str">
        <x:v>Supplier payment</x:v>
      </x:c>
      <x:c r="E526" s="18" t="n">
        <x:v>754.13</x:v>
      </x:c>
      <x:c r="F526" s="18"/>
      <x:c r="G526" s="18" t="n">
        <x:v>-754.13</x:v>
      </x:c>
      <x:c r="H526" s="18" t="n">
        <x:f>H525+G526</x:f>
        <x:v>9196366.490000006</x:v>
      </x:c>
    </x:row>
    <x:row r="527">
      <x:c r="A527" s="20" t="n">
        <x:v>46177</x:v>
      </x:c>
      <x:c r="B527" s="21" t="str">
        <x:v>DP-2026-027624</x:v>
      </x:c>
      <x:c r="C527" s="21" t="str">
        <x:v>ACH PAYMENT - Torres Ltd - DP-2026-027624</x:v>
      </x:c>
      <x:c r="D527" s="21" t="str">
        <x:v>Supplier payment</x:v>
      </x:c>
      <x:c r="E527" s="18" t="n">
        <x:v>313.36</x:v>
      </x:c>
      <x:c r="F527" s="18"/>
      <x:c r="G527" s="18" t="n">
        <x:v>-313.36</x:v>
      </x:c>
      <x:c r="H527" s="18" t="n">
        <x:f>H526+G527</x:f>
        <x:v>9196053.130000006</x:v>
      </x:c>
    </x:row>
    <x:row r="528">
      <x:c r="A528" s="20" t="n">
        <x:v>46177</x:v>
      </x:c>
      <x:c r="B528" s="21" t="str">
        <x:v>DP-2026-027626</x:v>
      </x:c>
      <x:c r="C528" s="21" t="str">
        <x:v>ACH PAYMENT - Thomas LLC - DP-2026-027626</x:v>
      </x:c>
      <x:c r="D528" s="21" t="str">
        <x:v>Supplier payment</x:v>
      </x:c>
      <x:c r="E528" s="18" t="n">
        <x:v>60.04</x:v>
      </x:c>
      <x:c r="F528" s="18"/>
      <x:c r="G528" s="18" t="n">
        <x:v>-60.04</x:v>
      </x:c>
      <x:c r="H528" s="18" t="n">
        <x:f>H527+G528</x:f>
        <x:v>9195993.090000007</x:v>
      </x:c>
    </x:row>
    <x:row r="529">
      <x:c r="A529" s="20" t="n">
        <x:v>46177</x:v>
      </x:c>
      <x:c r="B529" s="21" t="str">
        <x:v>DP-2026-027634</x:v>
      </x:c>
      <x:c r="C529" s="21" t="str">
        <x:v>ACH PAYMENT - Hernandez, Melendez and Mcdowell - DP-2026-027634</x:v>
      </x:c>
      <x:c r="D529" s="21" t="str">
        <x:v>Supplier payment</x:v>
      </x:c>
      <x:c r="E529" s="18" t="n">
        <x:v>481.5</x:v>
      </x:c>
      <x:c r="F529" s="18"/>
      <x:c r="G529" s="18" t="n">
        <x:v>-481.5</x:v>
      </x:c>
      <x:c r="H529" s="18" t="n">
        <x:f>H528+G529</x:f>
        <x:v>9195511.590000007</x:v>
      </x:c>
    </x:row>
    <x:row r="530">
      <x:c r="A530" s="20" t="n">
        <x:v>46177</x:v>
      </x:c>
      <x:c r="B530" s="21" t="str">
        <x:v>DP-2026-027636</x:v>
      </x:c>
      <x:c r="C530" s="21" t="str">
        <x:v>ACH PAYMENT - Brooks, Johnson and Olson - DP-2026-027636</x:v>
      </x:c>
      <x:c r="D530" s="21" t="str">
        <x:v>Supplier payment</x:v>
      </x:c>
      <x:c r="E530" s="18" t="n">
        <x:v>102.87</x:v>
      </x:c>
      <x:c r="F530" s="18"/>
      <x:c r="G530" s="18" t="n">
        <x:v>-102.87</x:v>
      </x:c>
      <x:c r="H530" s="18" t="n">
        <x:f>H529+G530</x:f>
        <x:v>9195408.720000008</x:v>
      </x:c>
    </x:row>
    <x:row r="531">
      <x:c r="A531" s="20" t="n">
        <x:v>46177</x:v>
      </x:c>
      <x:c r="B531" s="21" t="str">
        <x:v>DP-2026-027637</x:v>
      </x:c>
      <x:c r="C531" s="21" t="str">
        <x:v>ACH PAYMENT - Boone-Benton - DP-2026-027637</x:v>
      </x:c>
      <x:c r="D531" s="21" t="str">
        <x:v>Supplier payment</x:v>
      </x:c>
      <x:c r="E531" s="18" t="n">
        <x:v>1206.2</x:v>
      </x:c>
      <x:c r="F531" s="18"/>
      <x:c r="G531" s="18" t="n">
        <x:v>-1206.2</x:v>
      </x:c>
      <x:c r="H531" s="18" t="n">
        <x:f>H530+G531</x:f>
        <x:v>9194202.520000009</x:v>
      </x:c>
    </x:row>
    <x:row r="532">
      <x:c r="A532" s="20" t="n">
        <x:v>46177</x:v>
      </x:c>
      <x:c r="B532" s="21" t="str">
        <x:v>DP-2026-027642</x:v>
      </x:c>
      <x:c r="C532" s="21" t="str">
        <x:v>ACH PAYMENT - Morrison-Smith - DP-2026-027642</x:v>
      </x:c>
      <x:c r="D532" s="21" t="str">
        <x:v>Supplier payment</x:v>
      </x:c>
      <x:c r="E532" s="18" t="n">
        <x:v>1264.77</x:v>
      </x:c>
      <x:c r="F532" s="18"/>
      <x:c r="G532" s="18" t="n">
        <x:v>-1264.77</x:v>
      </x:c>
      <x:c r="H532" s="18" t="n">
        <x:f>H531+G532</x:f>
        <x:v>9192937.75000001</x:v>
      </x:c>
    </x:row>
    <x:row r="533">
      <x:c r="A533" s="20" t="n">
        <x:v>46177</x:v>
      </x:c>
      <x:c r="B533" s="21" t="str">
        <x:v>DP-2026-027644</x:v>
      </x:c>
      <x:c r="C533" s="21" t="str">
        <x:v>WIRE TRANSFER PAYMENT - Peters, Terry and Zimmerman - DP-2026-027644</x:v>
      </x:c>
      <x:c r="D533" s="21" t="str">
        <x:v>Supplier payment</x:v>
      </x:c>
      <x:c r="E533" s="18" t="n">
        <x:v>48.42</x:v>
      </x:c>
      <x:c r="F533" s="18"/>
      <x:c r="G533" s="18" t="n">
        <x:v>-48.42</x:v>
      </x:c>
      <x:c r="H533" s="18" t="n">
        <x:f>H532+G533</x:f>
        <x:v>9192889.33000001</x:v>
      </x:c>
    </x:row>
    <x:row r="534">
      <x:c r="A534" s="20" t="n">
        <x:v>46177</x:v>
      </x:c>
      <x:c r="B534" s="21" t="str">
        <x:v>DP-2026-027646</x:v>
      </x:c>
      <x:c r="C534" s="21" t="str">
        <x:v>ACH PAYMENT - Berger, Stanley and Cooper - DP-2026-027646</x:v>
      </x:c>
      <x:c r="D534" s="21" t="str">
        <x:v>Supplier payment</x:v>
      </x:c>
      <x:c r="E534" s="18" t="n">
        <x:v>1423.74</x:v>
      </x:c>
      <x:c r="F534" s="18"/>
      <x:c r="G534" s="18" t="n">
        <x:v>-1423.74</x:v>
      </x:c>
      <x:c r="H534" s="18" t="n">
        <x:f>H533+G534</x:f>
        <x:v>9191465.59000001</x:v>
      </x:c>
    </x:row>
    <x:row r="535">
      <x:c r="A535" s="20" t="n">
        <x:v>46177</x:v>
      </x:c>
      <x:c r="B535" s="21" t="str">
        <x:v>DP-2026-027654</x:v>
      </x:c>
      <x:c r="C535" s="21" t="str">
        <x:v>ACH PAYMENT - Hester Ltd - DP-2026-027654</x:v>
      </x:c>
      <x:c r="D535" s="21" t="str">
        <x:v>Supplier payment</x:v>
      </x:c>
      <x:c r="E535" s="18" t="n">
        <x:v>235.64</x:v>
      </x:c>
      <x:c r="F535" s="18"/>
      <x:c r="G535" s="18" t="n">
        <x:v>-235.64</x:v>
      </x:c>
      <x:c r="H535" s="18" t="n">
        <x:f>H534+G535</x:f>
        <x:v>9191229.950000009</x:v>
      </x:c>
    </x:row>
    <x:row r="536">
      <x:c r="A536" s="20" t="n">
        <x:v>46177</x:v>
      </x:c>
      <x:c r="B536" s="21" t="str">
        <x:v>DP-2026-027667</x:v>
      </x:c>
      <x:c r="C536" s="21" t="str">
        <x:v>ACH PAYMENT - Brooks, Johnson and Olson - DP-2026-027667</x:v>
      </x:c>
      <x:c r="D536" s="21" t="str">
        <x:v>Supplier payment</x:v>
      </x:c>
      <x:c r="E536" s="18" t="n">
        <x:v>536.47</x:v>
      </x:c>
      <x:c r="F536" s="18"/>
      <x:c r="G536" s="18" t="n">
        <x:v>-536.47</x:v>
      </x:c>
      <x:c r="H536" s="18" t="n">
        <x:f>H535+G536</x:f>
        <x:v>9190693.480000008</x:v>
      </x:c>
    </x:row>
    <x:row r="537">
      <x:c r="A537" s="20" t="n">
        <x:v>46177</x:v>
      </x:c>
      <x:c r="B537" s="21" t="str">
        <x:v>DP-2026-027670</x:v>
      </x:c>
      <x:c r="C537" s="21" t="str">
        <x:v>ACH PAYMENT - Hester Ltd - DP-2026-027670</x:v>
      </x:c>
      <x:c r="D537" s="21" t="str">
        <x:v>Supplier payment</x:v>
      </x:c>
      <x:c r="E537" s="18" t="n">
        <x:v>157.82</x:v>
      </x:c>
      <x:c r="F537" s="18"/>
      <x:c r="G537" s="18" t="n">
        <x:v>-157.82</x:v>
      </x:c>
      <x:c r="H537" s="18" t="n">
        <x:f>H536+G537</x:f>
        <x:v>9190535.660000008</x:v>
      </x:c>
    </x:row>
    <x:row r="538">
      <x:c r="A538" s="20" t="n">
        <x:v>46177</x:v>
      </x:c>
      <x:c r="B538" s="21" t="str">
        <x:v>DP-2026-027677</x:v>
      </x:c>
      <x:c r="C538" s="21" t="str">
        <x:v>ACH PAYMENT - Garcia Group - DP-2026-027677</x:v>
      </x:c>
      <x:c r="D538" s="21" t="str">
        <x:v>Supplier payment</x:v>
      </x:c>
      <x:c r="E538" s="18" t="n">
        <x:v>329.69</x:v>
      </x:c>
      <x:c r="F538" s="18"/>
      <x:c r="G538" s="18" t="n">
        <x:v>-329.69</x:v>
      </x:c>
      <x:c r="H538" s="18" t="n">
        <x:f>H537+G538</x:f>
        <x:v>9190205.970000008</x:v>
      </x:c>
    </x:row>
    <x:row r="539">
      <x:c r="A539" s="20" t="n">
        <x:v>46177</x:v>
      </x:c>
      <x:c r="B539" s="21" t="str">
        <x:v>DP-2026-027680</x:v>
      </x:c>
      <x:c r="C539" s="21" t="str">
        <x:v>ACH PAYMENT - Coffey, Gross and Phelps - DP-2026-027680</x:v>
      </x:c>
      <x:c r="D539" s="21" t="str">
        <x:v>Supplier payment</x:v>
      </x:c>
      <x:c r="E539" s="18" t="n">
        <x:v>282.3</x:v>
      </x:c>
      <x:c r="F539" s="18"/>
      <x:c r="G539" s="18" t="n">
        <x:v>-282.3</x:v>
      </x:c>
      <x:c r="H539" s="18" t="n">
        <x:f>H538+G539</x:f>
        <x:v>9189923.670000007</x:v>
      </x:c>
    </x:row>
    <x:row r="540">
      <x:c r="A540" s="20" t="n">
        <x:v>46177</x:v>
      </x:c>
      <x:c r="B540" s="21" t="str">
        <x:v>DP-2026-027688</x:v>
      </x:c>
      <x:c r="C540" s="21" t="str">
        <x:v>ACH PAYMENT - Gay, Clark and Hickman - DP-2026-027688</x:v>
      </x:c>
      <x:c r="D540" s="21" t="str">
        <x:v>Supplier payment</x:v>
      </x:c>
      <x:c r="E540" s="18" t="n">
        <x:v>81.32</x:v>
      </x:c>
      <x:c r="F540" s="18"/>
      <x:c r="G540" s="18" t="n">
        <x:v>-81.32</x:v>
      </x:c>
      <x:c r="H540" s="18" t="n">
        <x:f>H539+G540</x:f>
        <x:v>9189842.350000007</x:v>
      </x:c>
    </x:row>
    <x:row r="541">
      <x:c r="A541" s="20" t="n">
        <x:v>46177</x:v>
      </x:c>
      <x:c r="B541" s="21" t="str">
        <x:v>DP-2026-027691</x:v>
      </x:c>
      <x:c r="C541" s="21" t="str">
        <x:v>WIRE TRANSFER PAYMENT - Whitaker-Edwards - DP-2026-027691</x:v>
      </x:c>
      <x:c r="D541" s="21" t="str">
        <x:v>Supplier payment</x:v>
      </x:c>
      <x:c r="E541" s="18" t="n">
        <x:v>161.71</x:v>
      </x:c>
      <x:c r="F541" s="18"/>
      <x:c r="G541" s="18" t="n">
        <x:v>-161.71</x:v>
      </x:c>
      <x:c r="H541" s="18" t="n">
        <x:f>H540+G541</x:f>
        <x:v>9189680.640000006</x:v>
      </x:c>
    </x:row>
    <x:row r="542">
      <x:c r="A542" s="20" t="n">
        <x:v>46177</x:v>
      </x:c>
      <x:c r="B542" s="21" t="str">
        <x:v>DP-2026-027695</x:v>
      </x:c>
      <x:c r="C542" s="21" t="str">
        <x:v>ACH PAYMENT - Hale-Hart - DP-2026-027695</x:v>
      </x:c>
      <x:c r="D542" s="21" t="str">
        <x:v>Supplier payment</x:v>
      </x:c>
      <x:c r="E542" s="18" t="n">
        <x:v>963.85</x:v>
      </x:c>
      <x:c r="F542" s="18"/>
      <x:c r="G542" s="18" t="n">
        <x:v>-963.85</x:v>
      </x:c>
      <x:c r="H542" s="18" t="n">
        <x:f>H541+G542</x:f>
        <x:v>9188716.790000007</x:v>
      </x:c>
    </x:row>
    <x:row r="543">
      <x:c r="A543" s="20" t="n">
        <x:v>46177</x:v>
      </x:c>
      <x:c r="B543" s="21" t="str">
        <x:v>DP-2026-027697</x:v>
      </x:c>
      <x:c r="C543" s="21" t="str">
        <x:v>ACH PAYMENT - Lindsey and Sons - DP-2026-027697</x:v>
      </x:c>
      <x:c r="D543" s="21" t="str">
        <x:v>Supplier payment</x:v>
      </x:c>
      <x:c r="E543" s="18" t="n">
        <x:v>514.01</x:v>
      </x:c>
      <x:c r="F543" s="18"/>
      <x:c r="G543" s="18" t="n">
        <x:v>-514.01</x:v>
      </x:c>
      <x:c r="H543" s="18" t="n">
        <x:f>H542+G543</x:f>
        <x:v>9188202.780000007</x:v>
      </x:c>
    </x:row>
    <x:row r="544">
      <x:c r="A544" s="20" t="n">
        <x:v>46177</x:v>
      </x:c>
      <x:c r="B544" s="21" t="str">
        <x:v>DP-2026-027701</x:v>
      </x:c>
      <x:c r="C544" s="21" t="str">
        <x:v>ACH PAYMENT - Sweeney PLC - DP-2026-027701</x:v>
      </x:c>
      <x:c r="D544" s="21" t="str">
        <x:v>Supplier payment</x:v>
      </x:c>
      <x:c r="E544" s="18" t="n">
        <x:v>728.98</x:v>
      </x:c>
      <x:c r="F544" s="18"/>
      <x:c r="G544" s="18" t="n">
        <x:v>-728.98</x:v>
      </x:c>
      <x:c r="H544" s="18" t="n">
        <x:f>H543+G544</x:f>
        <x:v>9187473.800000006</x:v>
      </x:c>
    </x:row>
    <x:row r="545">
      <x:c r="A545" s="20" t="n">
        <x:v>46177</x:v>
      </x:c>
      <x:c r="B545" s="21" t="str">
        <x:v>DP-2026-027709</x:v>
      </x:c>
      <x:c r="C545" s="21" t="str">
        <x:v>ACH PAYMENT - Keith PLC - DP-2026-027709</x:v>
      </x:c>
      <x:c r="D545" s="21" t="str">
        <x:v>Supplier payment</x:v>
      </x:c>
      <x:c r="E545" s="18" t="n">
        <x:v>562.27</x:v>
      </x:c>
      <x:c r="F545" s="18"/>
      <x:c r="G545" s="18" t="n">
        <x:v>-562.27</x:v>
      </x:c>
      <x:c r="H545" s="18" t="n">
        <x:f>H544+G545</x:f>
        <x:v>9186911.530000007</x:v>
      </x:c>
    </x:row>
    <x:row r="546">
      <x:c r="A546" s="20" t="n">
        <x:v>46177</x:v>
      </x:c>
      <x:c r="B546" s="21" t="str">
        <x:v>DP-2026-027710</x:v>
      </x:c>
      <x:c r="C546" s="21" t="str">
        <x:v>WIRE TRANSFER PAYMENT - Smith-Ray - DP-2026-027710</x:v>
      </x:c>
      <x:c r="D546" s="21" t="str">
        <x:v>Supplier payment</x:v>
      </x:c>
      <x:c r="E546" s="18" t="n">
        <x:v>577.89</x:v>
      </x:c>
      <x:c r="F546" s="18"/>
      <x:c r="G546" s="18" t="n">
        <x:v>-577.89</x:v>
      </x:c>
      <x:c r="H546" s="18" t="n">
        <x:f>H545+G546</x:f>
        <x:v>9186333.640000006</x:v>
      </x:c>
    </x:row>
    <x:row r="547">
      <x:c r="A547" s="20" t="n">
        <x:v>46177</x:v>
      </x:c>
      <x:c r="B547" s="21" t="str">
        <x:v>DP-2026-027714</x:v>
      </x:c>
      <x:c r="C547" s="21" t="str">
        <x:v>WIRE TRANSFER PAYMENT - Gardner-Shelton - DP-2026-027714</x:v>
      </x:c>
      <x:c r="D547" s="21" t="str">
        <x:v>Supplier payment</x:v>
      </x:c>
      <x:c r="E547" s="18" t="n">
        <x:v>780.47</x:v>
      </x:c>
      <x:c r="F547" s="18"/>
      <x:c r="G547" s="18" t="n">
        <x:v>-780.47</x:v>
      </x:c>
      <x:c r="H547" s="18" t="n">
        <x:f>H546+G547</x:f>
        <x:v>9185553.170000006</x:v>
      </x:c>
    </x:row>
    <x:row r="548">
      <x:c r="A548" s="20" t="n">
        <x:v>46177</x:v>
      </x:c>
      <x:c r="B548" s="21" t="str">
        <x:v>DP-2026-027721</x:v>
      </x:c>
      <x:c r="C548" s="21" t="str">
        <x:v>ACH PAYMENT - Hernandez, Melendez and Mcdowell - DP-2026-027721</x:v>
      </x:c>
      <x:c r="D548" s="21" t="str">
        <x:v>Supplier payment</x:v>
      </x:c>
      <x:c r="E548" s="18" t="n">
        <x:v>745.73</x:v>
      </x:c>
      <x:c r="F548" s="18"/>
      <x:c r="G548" s="18" t="n">
        <x:v>-745.73</x:v>
      </x:c>
      <x:c r="H548" s="18" t="n">
        <x:f>H547+G548</x:f>
        <x:v>9184807.440000005</x:v>
      </x:c>
    </x:row>
    <x:row r="549">
      <x:c r="A549" s="20" t="n">
        <x:v>46177</x:v>
      </x:c>
      <x:c r="B549" s="21" t="str">
        <x:v>DP-2026-027722</x:v>
      </x:c>
      <x:c r="C549" s="21" t="str">
        <x:v>ACH PAYMENT - Brooks, Johnson and Olson - DP-2026-027722</x:v>
      </x:c>
      <x:c r="D549" s="21" t="str">
        <x:v>Supplier payment</x:v>
      </x:c>
      <x:c r="E549" s="18" t="n">
        <x:v>717.98</x:v>
      </x:c>
      <x:c r="F549" s="18"/>
      <x:c r="G549" s="18" t="n">
        <x:v>-717.98</x:v>
      </x:c>
      <x:c r="H549" s="18" t="n">
        <x:f>H548+G549</x:f>
        <x:v>9184089.460000005</x:v>
      </x:c>
    </x:row>
    <x:row r="550">
      <x:c r="A550" s="20" t="n">
        <x:v>46177</x:v>
      </x:c>
      <x:c r="B550" s="21" t="str">
        <x:v>DP-2026-027739</x:v>
      </x:c>
      <x:c r="C550" s="21" t="str">
        <x:v>WIRE TRANSFER PAYMENT - Lyons-Sheppard - DP-2026-027739</x:v>
      </x:c>
      <x:c r="D550" s="21" t="str">
        <x:v>Supplier payment</x:v>
      </x:c>
      <x:c r="E550" s="18" t="n">
        <x:v>223.21</x:v>
      </x:c>
      <x:c r="F550" s="18"/>
      <x:c r="G550" s="18" t="n">
        <x:v>-223.21</x:v>
      </x:c>
      <x:c r="H550" s="18" t="n">
        <x:f>H549+G550</x:f>
        <x:v>9183866.250000004</x:v>
      </x:c>
    </x:row>
    <x:row r="551">
      <x:c r="A551" s="20" t="n">
        <x:v>46177</x:v>
      </x:c>
      <x:c r="B551" s="21" t="str">
        <x:v>DP-2026-027740</x:v>
      </x:c>
      <x:c r="C551" s="21" t="str">
        <x:v>ACH PAYMENT - Fletcher Ltd - DP-2026-027740</x:v>
      </x:c>
      <x:c r="D551" s="21" t="str">
        <x:v>Supplier payment</x:v>
      </x:c>
      <x:c r="E551" s="18" t="n">
        <x:v>1011.48</x:v>
      </x:c>
      <x:c r="F551" s="18"/>
      <x:c r="G551" s="18" t="n">
        <x:v>-1011.48</x:v>
      </x:c>
      <x:c r="H551" s="18" t="n">
        <x:f>H550+G551</x:f>
        <x:v>9182854.770000003</x:v>
      </x:c>
    </x:row>
    <x:row r="552">
      <x:c r="A552" s="20" t="n">
        <x:v>46177</x:v>
      </x:c>
      <x:c r="B552" s="21" t="str">
        <x:v>DP-2026-027747</x:v>
      </x:c>
      <x:c r="C552" s="21" t="str">
        <x:v>ACH PAYMENT - Bell, Pruitt and David - DP-2026-027747</x:v>
      </x:c>
      <x:c r="D552" s="21" t="str">
        <x:v>Supplier payment</x:v>
      </x:c>
      <x:c r="E552" s="18" t="n">
        <x:v>220.49</x:v>
      </x:c>
      <x:c r="F552" s="18"/>
      <x:c r="G552" s="18" t="n">
        <x:v>-220.49</x:v>
      </x:c>
      <x:c r="H552" s="18" t="n">
        <x:f>H551+G552</x:f>
        <x:v>9182634.280000003</x:v>
      </x:c>
    </x:row>
    <x:row r="553">
      <x:c r="A553" s="20" t="n">
        <x:v>46177</x:v>
      </x:c>
      <x:c r="B553" s="21" t="str">
        <x:v>DP-2026-027753</x:v>
      </x:c>
      <x:c r="C553" s="21" t="str">
        <x:v>ACH PAYMENT - Nash LLC - DP-2026-027753</x:v>
      </x:c>
      <x:c r="D553" s="21" t="str">
        <x:v>Supplier payment</x:v>
      </x:c>
      <x:c r="E553" s="18" t="n">
        <x:v>2998.54</x:v>
      </x:c>
      <x:c r="F553" s="18"/>
      <x:c r="G553" s="18" t="n">
        <x:v>-2998.54</x:v>
      </x:c>
      <x:c r="H553" s="18" t="n">
        <x:f>H552+G553</x:f>
        <x:v>9179635.740000004</x:v>
      </x:c>
    </x:row>
    <x:row r="554">
      <x:c r="A554" s="20" t="n">
        <x:v>46177</x:v>
      </x:c>
      <x:c r="B554" s="21" t="str">
        <x:v>DP-2026-027759</x:v>
      </x:c>
      <x:c r="C554" s="21" t="str">
        <x:v>ACH PAYMENT - Sweeney PLC - DP-2026-027759</x:v>
      </x:c>
      <x:c r="D554" s="21" t="str">
        <x:v>Supplier payment</x:v>
      </x:c>
      <x:c r="E554" s="18" t="n">
        <x:v>1001.81</x:v>
      </x:c>
      <x:c r="F554" s="18"/>
      <x:c r="G554" s="18" t="n">
        <x:v>-1001.81</x:v>
      </x:c>
      <x:c r="H554" s="18" t="n">
        <x:f>H553+G554</x:f>
        <x:v>9178633.930000003</x:v>
      </x:c>
    </x:row>
    <x:row r="555">
      <x:c r="A555" s="20" t="n">
        <x:v>46177</x:v>
      </x:c>
      <x:c r="B555" s="21" t="str">
        <x:v>DP-2026-027761</x:v>
      </x:c>
      <x:c r="C555" s="21" t="str">
        <x:v>ACH PAYMENT - Peters, Terry and Zimmerman - DP-2026-027761</x:v>
      </x:c>
      <x:c r="D555" s="21" t="str">
        <x:v>Supplier payment</x:v>
      </x:c>
      <x:c r="E555" s="18" t="n">
        <x:v>480.74</x:v>
      </x:c>
      <x:c r="F555" s="18"/>
      <x:c r="G555" s="18" t="n">
        <x:v>-480.74</x:v>
      </x:c>
      <x:c r="H555" s="18" t="n">
        <x:f>H554+G555</x:f>
        <x:v>9178153.190000003</x:v>
      </x:c>
    </x:row>
    <x:row r="556">
      <x:c r="A556" s="20" t="n">
        <x:v>46177</x:v>
      </x:c>
      <x:c r="B556" s="21" t="str">
        <x:v>DP-2026-027764</x:v>
      </x:c>
      <x:c r="C556" s="21" t="str">
        <x:v>ACH PAYMENT - Powers-Daniels - DP-2026-027764</x:v>
      </x:c>
      <x:c r="D556" s="21" t="str">
        <x:v>Supplier payment</x:v>
      </x:c>
      <x:c r="E556" s="18" t="n">
        <x:v>657.6</x:v>
      </x:c>
      <x:c r="F556" s="18"/>
      <x:c r="G556" s="18" t="n">
        <x:v>-657.6</x:v>
      </x:c>
      <x:c r="H556" s="18" t="n">
        <x:f>H555+G556</x:f>
        <x:v>9177495.590000004</x:v>
      </x:c>
    </x:row>
    <x:row r="557">
      <x:c r="A557" s="20" t="n">
        <x:v>46177</x:v>
      </x:c>
      <x:c r="B557" s="21" t="str">
        <x:v>DP-2026-027770</x:v>
      </x:c>
      <x:c r="C557" s="21" t="str">
        <x:v>ACH PAYMENT - Whitaker-Edwards - DP-2026-027770</x:v>
      </x:c>
      <x:c r="D557" s="21" t="str">
        <x:v>Supplier payment</x:v>
      </x:c>
      <x:c r="E557" s="18" t="n">
        <x:v>256.65</x:v>
      </x:c>
      <x:c r="F557" s="18"/>
      <x:c r="G557" s="18" t="n">
        <x:v>-256.65</x:v>
      </x:c>
      <x:c r="H557" s="18" t="n">
        <x:f>H556+G557</x:f>
        <x:v>9177238.940000003</x:v>
      </x:c>
    </x:row>
    <x:row r="558">
      <x:c r="A558" s="20" t="n">
        <x:v>46177</x:v>
      </x:c>
      <x:c r="B558" s="21" t="str">
        <x:v>DP-2026-027771</x:v>
      </x:c>
      <x:c r="C558" s="21" t="str">
        <x:v>ACH PAYMENT - Brooks, Johnson and Olson - DP-2026-027771</x:v>
      </x:c>
      <x:c r="D558" s="21" t="str">
        <x:v>Supplier payment</x:v>
      </x:c>
      <x:c r="E558" s="18" t="n">
        <x:v>294.09</x:v>
      </x:c>
      <x:c r="F558" s="18"/>
      <x:c r="G558" s="18" t="n">
        <x:v>-294.09</x:v>
      </x:c>
      <x:c r="H558" s="18" t="n">
        <x:f>H557+G558</x:f>
        <x:v>9176944.850000003</x:v>
      </x:c>
    </x:row>
    <x:row r="559">
      <x:c r="A559" s="20" t="n">
        <x:v>46177</x:v>
      </x:c>
      <x:c r="B559" s="21" t="str">
        <x:v>DP-2026-027774</x:v>
      </x:c>
      <x:c r="C559" s="21" t="str">
        <x:v>ACH PAYMENT - Velasquez-Baxter - DP-2026-027774</x:v>
      </x:c>
      <x:c r="D559" s="21" t="str">
        <x:v>Supplier payment</x:v>
      </x:c>
      <x:c r="E559" s="18" t="n">
        <x:v>515.27</x:v>
      </x:c>
      <x:c r="F559" s="18"/>
      <x:c r="G559" s="18" t="n">
        <x:v>-515.27</x:v>
      </x:c>
      <x:c r="H559" s="18" t="n">
        <x:f>H558+G559</x:f>
        <x:v>9176429.580000004</x:v>
      </x:c>
    </x:row>
    <x:row r="560">
      <x:c r="A560" s="20" t="n">
        <x:v>46177</x:v>
      </x:c>
      <x:c r="B560" s="21" t="str">
        <x:v>DP-2026-027778</x:v>
      </x:c>
      <x:c r="C560" s="21" t="str">
        <x:v>ACH PAYMENT - Brooks, Johnson and Olson - DP-2026-027778</x:v>
      </x:c>
      <x:c r="D560" s="21" t="str">
        <x:v>Supplier payment</x:v>
      </x:c>
      <x:c r="E560" s="18" t="n">
        <x:v>265.12</x:v>
      </x:c>
      <x:c r="F560" s="18"/>
      <x:c r="G560" s="18" t="n">
        <x:v>-265.12</x:v>
      </x:c>
      <x:c r="H560" s="18" t="n">
        <x:f>H559+G560</x:f>
        <x:v>9176164.460000005</x:v>
      </x:c>
    </x:row>
    <x:row r="561">
      <x:c r="A561" s="20" t="n">
        <x:v>46177</x:v>
      </x:c>
      <x:c r="B561" s="21" t="str">
        <x:v>DP-2026-027782</x:v>
      </x:c>
      <x:c r="C561" s="21" t="str">
        <x:v>ACH PAYMENT - Bailey, Gutierrez and Cameron - DP-2026-027782</x:v>
      </x:c>
      <x:c r="D561" s="21" t="str">
        <x:v>Supplier payment</x:v>
      </x:c>
      <x:c r="E561" s="18" t="n">
        <x:v>583.11</x:v>
      </x:c>
      <x:c r="F561" s="18"/>
      <x:c r="G561" s="18" t="n">
        <x:v>-583.11</x:v>
      </x:c>
      <x:c r="H561" s="18" t="n">
        <x:f>H560+G561</x:f>
        <x:v>9175581.350000005</x:v>
      </x:c>
    </x:row>
    <x:row r="562">
      <x:c r="A562" s="20" t="n">
        <x:v>46177</x:v>
      </x:c>
      <x:c r="B562" s="21" t="str">
        <x:v>DP-2026-027796</x:v>
      </x:c>
      <x:c r="C562" s="21" t="str">
        <x:v>ACH PAYMENT - Peters, Terry and Zimmerman - DP-2026-027796</x:v>
      </x:c>
      <x:c r="D562" s="21" t="str">
        <x:v>Supplier payment</x:v>
      </x:c>
      <x:c r="E562" s="18" t="n">
        <x:v>1480.1</x:v>
      </x:c>
      <x:c r="F562" s="18"/>
      <x:c r="G562" s="18" t="n">
        <x:v>-1480.1</x:v>
      </x:c>
      <x:c r="H562" s="18" t="n">
        <x:f>H561+G562</x:f>
        <x:v>9174101.250000006</x:v>
      </x:c>
    </x:row>
    <x:row r="563">
      <x:c r="A563" s="20" t="n">
        <x:v>46177</x:v>
      </x:c>
      <x:c r="B563" s="21" t="str">
        <x:v>DP-2026-027803</x:v>
      </x:c>
      <x:c r="C563" s="21" t="str">
        <x:v>ACH PAYMENT - Turner PLC - DP-2026-027803</x:v>
      </x:c>
      <x:c r="D563" s="21" t="str">
        <x:v>Supplier payment</x:v>
      </x:c>
      <x:c r="E563" s="18" t="n">
        <x:v>1620.66</x:v>
      </x:c>
      <x:c r="F563" s="18"/>
      <x:c r="G563" s="18" t="n">
        <x:v>-1620.66</x:v>
      </x:c>
      <x:c r="H563" s="18" t="n">
        <x:f>H562+G563</x:f>
        <x:v>9172480.590000005</x:v>
      </x:c>
    </x:row>
    <x:row r="564">
      <x:c r="A564" s="20" t="n">
        <x:v>46177</x:v>
      </x:c>
      <x:c r="B564" s="21" t="str">
        <x:v>DP-2026-027806</x:v>
      </x:c>
      <x:c r="C564" s="21" t="str">
        <x:v>ACH PAYMENT - Peters, Terry and Zimmerman - DP-2026-027806</x:v>
      </x:c>
      <x:c r="D564" s="21" t="str">
        <x:v>Supplier payment</x:v>
      </x:c>
      <x:c r="E564" s="18" t="n">
        <x:v>253.23</x:v>
      </x:c>
      <x:c r="F564" s="18"/>
      <x:c r="G564" s="18" t="n">
        <x:v>-253.23</x:v>
      </x:c>
      <x:c r="H564" s="18" t="n">
        <x:f>H563+G564</x:f>
        <x:v>9172227.360000005</x:v>
      </x:c>
    </x:row>
    <x:row r="565">
      <x:c r="A565" s="20" t="n">
        <x:v>46177</x:v>
      </x:c>
      <x:c r="B565" s="21" t="str">
        <x:v>DP-2026-027811</x:v>
      </x:c>
      <x:c r="C565" s="21" t="str">
        <x:v>ACH PAYMENT - Berger, Stanley and Cooper - DP-2026-027811</x:v>
      </x:c>
      <x:c r="D565" s="21" t="str">
        <x:v>Supplier payment</x:v>
      </x:c>
      <x:c r="E565" s="18" t="n">
        <x:v>53.9</x:v>
      </x:c>
      <x:c r="F565" s="18"/>
      <x:c r="G565" s="18" t="n">
        <x:v>-53.9</x:v>
      </x:c>
      <x:c r="H565" s="18" t="n">
        <x:f>H564+G565</x:f>
        <x:v>9172173.460000005</x:v>
      </x:c>
    </x:row>
    <x:row r="566">
      <x:c r="A566" s="20" t="n">
        <x:v>46177</x:v>
      </x:c>
      <x:c r="B566" s="21" t="str">
        <x:v>DP-2026-027817</x:v>
      </x:c>
      <x:c r="C566" s="21" t="str">
        <x:v>WIRE TRANSFER PAYMENT - Velasquez-Baxter - DP-2026-027817</x:v>
      </x:c>
      <x:c r="D566" s="21" t="str">
        <x:v>Supplier payment</x:v>
      </x:c>
      <x:c r="E566" s="18" t="n">
        <x:v>1168.59</x:v>
      </x:c>
      <x:c r="F566" s="18"/>
      <x:c r="G566" s="18" t="n">
        <x:v>-1168.59</x:v>
      </x:c>
      <x:c r="H566" s="18" t="n">
        <x:f>H565+G566</x:f>
        <x:v>9171004.870000005</x:v>
      </x:c>
    </x:row>
    <x:row r="567">
      <x:c r="A567" s="20" t="n">
        <x:v>46177</x:v>
      </x:c>
      <x:c r="B567" s="21" t="str">
        <x:v>DP-2026-027819</x:v>
      </x:c>
      <x:c r="C567" s="21" t="str">
        <x:v>ACH PAYMENT - Collins-Johnson - DP-2026-027819</x:v>
      </x:c>
      <x:c r="D567" s="21" t="str">
        <x:v>Supplier payment</x:v>
      </x:c>
      <x:c r="E567" s="18" t="n">
        <x:v>498.52</x:v>
      </x:c>
      <x:c r="F567" s="18"/>
      <x:c r="G567" s="18" t="n">
        <x:v>-498.52</x:v>
      </x:c>
      <x:c r="H567" s="18" t="n">
        <x:f>H566+G567</x:f>
        <x:v>9170506.350000005</x:v>
      </x:c>
    </x:row>
    <x:row r="568">
      <x:c r="A568" s="20" t="n">
        <x:v>46177</x:v>
      </x:c>
      <x:c r="B568" s="21" t="str">
        <x:v>DP-2026-027820</x:v>
      </x:c>
      <x:c r="C568" s="21" t="str">
        <x:v>WIRE TRANSFER PAYMENT - Turner PLC - DP-2026-027820</x:v>
      </x:c>
      <x:c r="D568" s="21" t="str">
        <x:v>Supplier payment</x:v>
      </x:c>
      <x:c r="E568" s="18" t="n">
        <x:v>664.23</x:v>
      </x:c>
      <x:c r="F568" s="18"/>
      <x:c r="G568" s="18" t="n">
        <x:v>-664.23</x:v>
      </x:c>
      <x:c r="H568" s="18" t="n">
        <x:f>H567+G568</x:f>
        <x:v>9169842.120000005</x:v>
      </x:c>
    </x:row>
    <x:row r="569">
      <x:c r="A569" s="20" t="n">
        <x:v>46177</x:v>
      </x:c>
      <x:c r="B569" s="21" t="str">
        <x:v>DP-2026-027834</x:v>
      </x:c>
      <x:c r="C569" s="21" t="str">
        <x:v>ACH PAYMENT - Rodriguez, Myers and Grimes - DP-2026-027834</x:v>
      </x:c>
      <x:c r="D569" s="21" t="str">
        <x:v>Supplier payment</x:v>
      </x:c>
      <x:c r="E569" s="18" t="n">
        <x:v>806.91</x:v>
      </x:c>
      <x:c r="F569" s="18"/>
      <x:c r="G569" s="18" t="n">
        <x:v>-806.91</x:v>
      </x:c>
      <x:c r="H569" s="18" t="n">
        <x:f>H568+G569</x:f>
        <x:v>9169035.210000005</x:v>
      </x:c>
    </x:row>
    <x:row r="570">
      <x:c r="A570" s="20" t="n">
        <x:v>46177</x:v>
      </x:c>
      <x:c r="B570" s="21" t="str">
        <x:v>DP-2026-027839</x:v>
      </x:c>
      <x:c r="C570" s="21" t="str">
        <x:v>ACH PAYMENT - Fuller LLC - DP-2026-027839</x:v>
      </x:c>
      <x:c r="D570" s="21" t="str">
        <x:v>Supplier payment</x:v>
      </x:c>
      <x:c r="E570" s="18" t="n">
        <x:v>737.71</x:v>
      </x:c>
      <x:c r="F570" s="18"/>
      <x:c r="G570" s="18" t="n">
        <x:v>-737.71</x:v>
      </x:c>
      <x:c r="H570" s="18" t="n">
        <x:f>H569+G570</x:f>
        <x:v>9168297.500000004</x:v>
      </x:c>
    </x:row>
    <x:row r="571">
      <x:c r="A571" s="20" t="n">
        <x:v>46177</x:v>
      </x:c>
      <x:c r="B571" s="21" t="str">
        <x:v>DP-2026-027844</x:v>
      </x:c>
      <x:c r="C571" s="21" t="str">
        <x:v>ACH PAYMENT - Hester Ltd - DP-2026-027844</x:v>
      </x:c>
      <x:c r="D571" s="21" t="str">
        <x:v>Supplier payment</x:v>
      </x:c>
      <x:c r="E571" s="18" t="n">
        <x:v>225.25</x:v>
      </x:c>
      <x:c r="F571" s="18"/>
      <x:c r="G571" s="18" t="n">
        <x:v>-225.25</x:v>
      </x:c>
      <x:c r="H571" s="18" t="n">
        <x:f>H570+G571</x:f>
        <x:v>9168072.250000004</x:v>
      </x:c>
    </x:row>
    <x:row r="572">
      <x:c r="A572" s="20" t="n">
        <x:v>46177</x:v>
      </x:c>
      <x:c r="B572" s="21" t="str">
        <x:v>DP-2026-027847</x:v>
      </x:c>
      <x:c r="C572" s="21" t="str">
        <x:v>ACH PAYMENT - Anderson-Lara - DP-2026-027847</x:v>
      </x:c>
      <x:c r="D572" s="21" t="str">
        <x:v>Supplier payment</x:v>
      </x:c>
      <x:c r="E572" s="18" t="n">
        <x:v>2675.84</x:v>
      </x:c>
      <x:c r="F572" s="18"/>
      <x:c r="G572" s="18" t="n">
        <x:v>-2675.84</x:v>
      </x:c>
      <x:c r="H572" s="18" t="n">
        <x:f>H571+G572</x:f>
        <x:v>9165396.410000004</x:v>
      </x:c>
    </x:row>
    <x:row r="573">
      <x:c r="A573" s="20" t="n">
        <x:v>46177</x:v>
      </x:c>
      <x:c r="B573" s="21" t="str">
        <x:v>DP-2026-027849</x:v>
      </x:c>
      <x:c r="C573" s="21" t="str">
        <x:v>ACH PAYMENT - Diaz Group - DP-2026-027849</x:v>
      </x:c>
      <x:c r="D573" s="21" t="str">
        <x:v>Supplier payment</x:v>
      </x:c>
      <x:c r="E573" s="18" t="n">
        <x:v>210.66</x:v>
      </x:c>
      <x:c r="F573" s="18"/>
      <x:c r="G573" s="18" t="n">
        <x:v>-210.66</x:v>
      </x:c>
      <x:c r="H573" s="18" t="n">
        <x:f>H572+G573</x:f>
        <x:v>9165185.750000004</x:v>
      </x:c>
    </x:row>
    <x:row r="574">
      <x:c r="A574" s="20" t="n">
        <x:v>46177</x:v>
      </x:c>
      <x:c r="B574" s="21" t="str">
        <x:v>DP-2026-027853</x:v>
      </x:c>
      <x:c r="C574" s="21" t="str">
        <x:v>WIRE TRANSFER PAYMENT - Duran, Mccarthy and Myers - DP-2026-027853</x:v>
      </x:c>
      <x:c r="D574" s="21" t="str">
        <x:v>Supplier payment</x:v>
      </x:c>
      <x:c r="E574" s="18" t="n">
        <x:v>337.44</x:v>
      </x:c>
      <x:c r="F574" s="18"/>
      <x:c r="G574" s="18" t="n">
        <x:v>-337.44</x:v>
      </x:c>
      <x:c r="H574" s="18" t="n">
        <x:f>H573+G574</x:f>
        <x:v>9164848.310000004</x:v>
      </x:c>
    </x:row>
    <x:row r="575">
      <x:c r="A575" s="20" t="n">
        <x:v>46177</x:v>
      </x:c>
      <x:c r="B575" s="21" t="str">
        <x:v>DP-2026-027857</x:v>
      </x:c>
      <x:c r="C575" s="21" t="str">
        <x:v>ACH PAYMENT - Fletcher Ltd - DP-2026-027857</x:v>
      </x:c>
      <x:c r="D575" s="21" t="str">
        <x:v>Supplier payment</x:v>
      </x:c>
      <x:c r="E575" s="18" t="n">
        <x:v>3108.24</x:v>
      </x:c>
      <x:c r="F575" s="18"/>
      <x:c r="G575" s="18" t="n">
        <x:v>-3108.24</x:v>
      </x:c>
      <x:c r="H575" s="18" t="n">
        <x:f>H574+G575</x:f>
        <x:v>9161740.070000004</x:v>
      </x:c>
    </x:row>
    <x:row r="576">
      <x:c r="A576" s="20" t="n">
        <x:v>46177</x:v>
      </x:c>
      <x:c r="B576" s="21" t="str">
        <x:v>DP-2026-027863</x:v>
      </x:c>
      <x:c r="C576" s="21" t="str">
        <x:v>ACH PAYMENT - Perez-Byrd - DP-2026-027863</x:v>
      </x:c>
      <x:c r="D576" s="21" t="str">
        <x:v>Supplier payment</x:v>
      </x:c>
      <x:c r="E576" s="18" t="n">
        <x:v>347.29</x:v>
      </x:c>
      <x:c r="F576" s="18"/>
      <x:c r="G576" s="18" t="n">
        <x:v>-347.29</x:v>
      </x:c>
      <x:c r="H576" s="18" t="n">
        <x:f>H575+G576</x:f>
        <x:v>9161392.780000005</x:v>
      </x:c>
    </x:row>
    <x:row r="577">
      <x:c r="A577" s="20" t="n">
        <x:v>46177</x:v>
      </x:c>
      <x:c r="B577" s="21" t="str">
        <x:v>DP-2026-027901</x:v>
      </x:c>
      <x:c r="C577" s="21" t="str">
        <x:v>ACH PAYMENT - Turner PLC - DP-2026-027901</x:v>
      </x:c>
      <x:c r="D577" s="21" t="str">
        <x:v>Supplier payment</x:v>
      </x:c>
      <x:c r="E577" s="18" t="n">
        <x:v>1266.01</x:v>
      </x:c>
      <x:c r="F577" s="18"/>
      <x:c r="G577" s="18" t="n">
        <x:v>-1266.01</x:v>
      </x:c>
      <x:c r="H577" s="18" t="n">
        <x:f>H576+G577</x:f>
        <x:v>9160126.770000005</x:v>
      </x:c>
    </x:row>
    <x:row r="578">
      <x:c r="A578" s="20" t="n">
        <x:v>46177</x:v>
      </x:c>
      <x:c r="B578" s="21" t="str">
        <x:v>DP-2026-027915</x:v>
      </x:c>
      <x:c r="C578" s="21" t="str">
        <x:v>WIRE TRANSFER PAYMENT - Whitaker-Edwards - DP-2026-027915</x:v>
      </x:c>
      <x:c r="D578" s="21" t="str">
        <x:v>Supplier payment</x:v>
      </x:c>
      <x:c r="E578" s="18" t="n">
        <x:v>1554.16</x:v>
      </x:c>
      <x:c r="F578" s="18"/>
      <x:c r="G578" s="18" t="n">
        <x:v>-1554.16</x:v>
      </x:c>
      <x:c r="H578" s="18" t="n">
        <x:f>H577+G578</x:f>
        <x:v>9158572.610000005</x:v>
      </x:c>
    </x:row>
    <x:row r="579">
      <x:c r="A579" s="20" t="n">
        <x:v>46177</x:v>
      </x:c>
      <x:c r="B579" s="21" t="str">
        <x:v>DP-2026-027924</x:v>
      </x:c>
      <x:c r="C579" s="21" t="str">
        <x:v>ACH PAYMENT - Bailey, Gutierrez and Cameron - DP-2026-027924</x:v>
      </x:c>
      <x:c r="D579" s="21" t="str">
        <x:v>Supplier payment</x:v>
      </x:c>
      <x:c r="E579" s="18" t="n">
        <x:v>766.45</x:v>
      </x:c>
      <x:c r="F579" s="18"/>
      <x:c r="G579" s="18" t="n">
        <x:v>-766.45</x:v>
      </x:c>
      <x:c r="H579" s="18" t="n">
        <x:f>H578+G579</x:f>
        <x:v>9157806.160000006</x:v>
      </x:c>
    </x:row>
    <x:row r="580">
      <x:c r="A580" s="20" t="n">
        <x:v>46177</x:v>
      </x:c>
      <x:c r="B580" s="21" t="str">
        <x:v>DP-2026-027931</x:v>
      </x:c>
      <x:c r="C580" s="21" t="str">
        <x:v>ACH PAYMENT - Powers-Daniels - DP-2026-027931</x:v>
      </x:c>
      <x:c r="D580" s="21" t="str">
        <x:v>Supplier payment</x:v>
      </x:c>
      <x:c r="E580" s="18" t="n">
        <x:v>290.6</x:v>
      </x:c>
      <x:c r="F580" s="18"/>
      <x:c r="G580" s="18" t="n">
        <x:v>-290.6</x:v>
      </x:c>
      <x:c r="H580" s="18" t="n">
        <x:f>H579+G580</x:f>
        <x:v>9157515.560000006</x:v>
      </x:c>
    </x:row>
    <x:row r="581">
      <x:c r="A581" s="20" t="n">
        <x:v>46177</x:v>
      </x:c>
      <x:c r="B581" s="21" t="str">
        <x:v>DP-2026-027964</x:v>
      </x:c>
      <x:c r="C581" s="21" t="str">
        <x:v>ACH PAYMENT - Brooks, Johnson and Olson - DP-2026-027964</x:v>
      </x:c>
      <x:c r="D581" s="21" t="str">
        <x:v>Supplier payment</x:v>
      </x:c>
      <x:c r="E581" s="18" t="n">
        <x:v>549.94</x:v>
      </x:c>
      <x:c r="F581" s="18"/>
      <x:c r="G581" s="18" t="n">
        <x:v>-549.94</x:v>
      </x:c>
      <x:c r="H581" s="18" t="n">
        <x:f>H580+G581</x:f>
        <x:v>9156965.620000007</x:v>
      </x:c>
    </x:row>
    <x:row r="582">
      <x:c r="A582" s="20" t="n">
        <x:v>46177</x:v>
      </x:c>
      <x:c r="B582" s="21" t="str">
        <x:v>DP-2026-028020</x:v>
      </x:c>
      <x:c r="C582" s="21" t="str">
        <x:v>ACH PAYMENT - Harris and Sons - DP-2026-028020</x:v>
      </x:c>
      <x:c r="D582" s="21" t="str">
        <x:v>Supplier payment</x:v>
      </x:c>
      <x:c r="E582" s="18" t="n">
        <x:v>774.52</x:v>
      </x:c>
      <x:c r="F582" s="18"/>
      <x:c r="G582" s="18" t="n">
        <x:v>-774.52</x:v>
      </x:c>
      <x:c r="H582" s="18" t="n">
        <x:f>H581+G582</x:f>
        <x:v>9156191.100000007</x:v>
      </x:c>
    </x:row>
    <x:row r="583">
      <x:c r="A583" s="20" t="n">
        <x:v>46177</x:v>
      </x:c>
      <x:c r="B583" s="21" t="str">
        <x:v>PLR-2026-000064</x:v>
      </x:c>
      <x:c r="C583" s="21" t="str">
        <x:v>PAYROLL REMITTANCE - Benefits and Deductions Clearinghouse</x:v>
      </x:c>
      <x:c r="D583" s="21" t="str">
        <x:v>Payroll remittance</x:v>
      </x:c>
      <x:c r="E583" s="18" t="n">
        <x:v>21619.78</x:v>
      </x:c>
      <x:c r="F583" s="18"/>
      <x:c r="G583" s="18" t="n">
        <x:v>-21619.78</x:v>
      </x:c>
      <x:c r="H583" s="18" t="n">
        <x:f>H582+G583</x:f>
        <x:v>9134571.320000008</x:v>
      </x:c>
    </x:row>
    <x:row r="584">
      <x:c r="A584" s="20" t="n">
        <x:v>46178</x:v>
      </x:c>
      <x:c r="B584" s="21" t="str">
        <x:v>AR00005924</x:v>
      </x:c>
      <x:c r="C584" s="21" t="str">
        <x:v>CUSTOMER DEPOSIT - Roberts Ltd - CR-2026-005924</x:v>
      </x:c>
      <x:c r="D584" s="21" t="str">
        <x:v>Customer deposit</x:v>
      </x:c>
      <x:c r="E584" s="18"/>
      <x:c r="F584" s="18" t="n">
        <x:v>11.84</x:v>
      </x:c>
      <x:c r="G584" s="18" t="n">
        <x:v>11.84</x:v>
      </x:c>
      <x:c r="H584" s="18" t="n">
        <x:f>H583+G584</x:f>
        <x:v>9134583.160000008</x:v>
      </x:c>
    </x:row>
    <x:row r="585">
      <x:c r="A585" s="20" t="n">
        <x:v>46178</x:v>
      </x:c>
      <x:c r="B585" s="21" t="str">
        <x:v>AR00005996</x:v>
      </x:c>
      <x:c r="C585" s="21" t="str">
        <x:v>CUSTOMER DEPOSIT - Dalton-Jackson - CR-2026-005996</x:v>
      </x:c>
      <x:c r="D585" s="21" t="str">
        <x:v>Customer deposit</x:v>
      </x:c>
      <x:c r="E585" s="18"/>
      <x:c r="F585" s="18" t="n">
        <x:v>0.55</x:v>
      </x:c>
      <x:c r="G585" s="18" t="n">
        <x:v>0.55</x:v>
      </x:c>
      <x:c r="H585" s="18" t="n">
        <x:f>H584+G585</x:f>
        <x:v>9134583.710000008</x:v>
      </x:c>
    </x:row>
    <x:row r="586">
      <x:c r="A586" s="20" t="n">
        <x:v>46178</x:v>
      </x:c>
      <x:c r="B586" s="21" t="str">
        <x:v>AR00006089</x:v>
      </x:c>
      <x:c r="C586" s="21" t="str">
        <x:v>CUSTOMER DEPOSIT - Smith Ltd - CR-2026-006089</x:v>
      </x:c>
      <x:c r="D586" s="21" t="str">
        <x:v>Customer deposit</x:v>
      </x:c>
      <x:c r="E586" s="18"/>
      <x:c r="F586" s="18" t="n">
        <x:v>0.06</x:v>
      </x:c>
      <x:c r="G586" s="18" t="n">
        <x:v>0.06</x:v>
      </x:c>
      <x:c r="H586" s="18" t="n">
        <x:f>H585+G586</x:f>
        <x:v>9134583.770000009</x:v>
      </x:c>
    </x:row>
    <x:row r="587">
      <x:c r="A587" s="20" t="n">
        <x:v>46178</x:v>
      </x:c>
      <x:c r="B587" s="21" t="str">
        <x:v>BKF-0605</x:v>
      </x:c>
      <x:c r="C587" s="21" t="str">
        <x:v>MONTHLY ACCOUNT MAINTENANCE FEE</x:v>
      </x:c>
      <x:c r="D587" s="21" t="str">
        <x:v>Bank fee</x:v>
      </x:c>
      <x:c r="E587" s="18" t="n">
        <x:v>35</x:v>
      </x:c>
      <x:c r="F587" s="18"/>
      <x:c r="G587" s="18" t="n">
        <x:v>-35</x:v>
      </x:c>
      <x:c r="H587" s="18" t="n">
        <x:f>H586+G587</x:f>
        <x:v>9134548.770000009</x:v>
      </x:c>
    </x:row>
    <x:row r="588">
      <x:c r="A588" s="20" t="n">
        <x:v>46178</x:v>
      </x:c>
      <x:c r="B588" s="21" t="str">
        <x:v>CHK0025589</x:v>
      </x:c>
      <x:c r="C588" s="21" t="str">
        <x:v>CHECK PAYMENT - Brooks, Johnson and Olson - DP-2026-025589</x:v>
      </x:c>
      <x:c r="D588" s="21" t="str">
        <x:v>Supplier payment</x:v>
      </x:c>
      <x:c r="E588" s="18" t="n">
        <x:v>349.92</x:v>
      </x:c>
      <x:c r="F588" s="18"/>
      <x:c r="G588" s="18" t="n">
        <x:v>-349.92</x:v>
      </x:c>
      <x:c r="H588" s="18" t="n">
        <x:f>H587+G588</x:f>
        <x:v>9134198.850000009</x:v>
      </x:c>
    </x:row>
    <x:row r="589">
      <x:c r="A589" s="20" t="n">
        <x:v>46178</x:v>
      </x:c>
      <x:c r="B589" s="21" t="str">
        <x:v>CHK0027084</x:v>
      </x:c>
      <x:c r="C589" s="21" t="str">
        <x:v>CHECK PAYMENT - Robinson Ltd - DP-2026-027084</x:v>
      </x:c>
      <x:c r="D589" s="21" t="str">
        <x:v>Supplier payment</x:v>
      </x:c>
      <x:c r="E589" s="18" t="n">
        <x:v>360.33</x:v>
      </x:c>
      <x:c r="F589" s="18"/>
      <x:c r="G589" s="18" t="n">
        <x:v>-360.33</x:v>
      </x:c>
      <x:c r="H589" s="18" t="n">
        <x:f>H588+G589</x:f>
        <x:v>9133838.520000009</x:v>
      </x:c>
    </x:row>
    <x:row r="590">
      <x:c r="A590" s="20" t="n">
        <x:v>46178</x:v>
      </x:c>
      <x:c r="B590" s="21" t="str">
        <x:v>CHK0027269</x:v>
      </x:c>
      <x:c r="C590" s="21" t="str">
        <x:v>CHECK PAYMENT - Duran, Mccarthy and Myers - DP-2026-027269</x:v>
      </x:c>
      <x:c r="D590" s="21" t="str">
        <x:v>Supplier payment</x:v>
      </x:c>
      <x:c r="E590" s="18" t="n">
        <x:v>241.58</x:v>
      </x:c>
      <x:c r="F590" s="18"/>
      <x:c r="G590" s="18" t="n">
        <x:v>-241.58</x:v>
      </x:c>
      <x:c r="H590" s="18" t="n">
        <x:f>H589+G590</x:f>
        <x:v>9133596.940000009</x:v>
      </x:c>
    </x:row>
    <x:row r="591">
      <x:c r="A591" s="20" t="n">
        <x:v>46178</x:v>
      </x:c>
      <x:c r="B591" s="21" t="str">
        <x:v>CHK0027292</x:v>
      </x:c>
      <x:c r="C591" s="21" t="str">
        <x:v>CHECK PAYMENT - Nash LLC - DP-2026-027292</x:v>
      </x:c>
      <x:c r="D591" s="21" t="str">
        <x:v>Supplier payment</x:v>
      </x:c>
      <x:c r="E591" s="18" t="n">
        <x:v>216.63</x:v>
      </x:c>
      <x:c r="F591" s="18"/>
      <x:c r="G591" s="18" t="n">
        <x:v>-216.63</x:v>
      </x:c>
      <x:c r="H591" s="18" t="n">
        <x:f>H590+G591</x:f>
        <x:v>9133380.310000008</x:v>
      </x:c>
    </x:row>
    <x:row r="592">
      <x:c r="A592" s="20" t="n">
        <x:v>46178</x:v>
      </x:c>
      <x:c r="B592" s="21" t="str">
        <x:v>CHK0027295</x:v>
      </x:c>
      <x:c r="C592" s="21" t="str">
        <x:v>CHECK PAYMENT - Murphy, Williams and Sanders - DP-2026-027295</x:v>
      </x:c>
      <x:c r="D592" s="21" t="str">
        <x:v>Supplier payment</x:v>
      </x:c>
      <x:c r="E592" s="18" t="n">
        <x:v>581.56</x:v>
      </x:c>
      <x:c r="F592" s="18"/>
      <x:c r="G592" s="18" t="n">
        <x:v>-581.56</x:v>
      </x:c>
      <x:c r="H592" s="18" t="n">
        <x:f>H591+G592</x:f>
        <x:v>9132798.750000007</x:v>
      </x:c>
    </x:row>
    <x:row r="593">
      <x:c r="A593" s="20" t="n">
        <x:v>46178</x:v>
      </x:c>
      <x:c r="B593" s="21" t="str">
        <x:v>CHK0027298</x:v>
      </x:c>
      <x:c r="C593" s="21" t="str">
        <x:v>CHECK PAYMENT - Thomas, Gonzalez and Beltran - DP-2026-027298</x:v>
      </x:c>
      <x:c r="D593" s="21" t="str">
        <x:v>Supplier payment</x:v>
      </x:c>
      <x:c r="E593" s="18" t="n">
        <x:v>27.7</x:v>
      </x:c>
      <x:c r="F593" s="18"/>
      <x:c r="G593" s="18" t="n">
        <x:v>-27.7</x:v>
      </x:c>
      <x:c r="H593" s="18" t="n">
        <x:f>H592+G593</x:f>
        <x:v>9132771.050000008</x:v>
      </x:c>
    </x:row>
    <x:row r="594">
      <x:c r="A594" s="20" t="n">
        <x:v>46178</x:v>
      </x:c>
      <x:c r="B594" s="21" t="str">
        <x:v>CHK0027309</x:v>
      </x:c>
      <x:c r="C594" s="21" t="str">
        <x:v>CHECK PAYMENT - Hoffman LLC - DP-2026-027309</x:v>
      </x:c>
      <x:c r="D594" s="21" t="str">
        <x:v>Supplier payment</x:v>
      </x:c>
      <x:c r="E594" s="18" t="n">
        <x:v>1650.87</x:v>
      </x:c>
      <x:c r="F594" s="18"/>
      <x:c r="G594" s="18" t="n">
        <x:v>-1650.87</x:v>
      </x:c>
      <x:c r="H594" s="18" t="n">
        <x:f>H593+G594</x:f>
        <x:v>9131120.180000009</x:v>
      </x:c>
    </x:row>
    <x:row r="595">
      <x:c r="A595" s="20" t="n">
        <x:v>46178</x:v>
      </x:c>
      <x:c r="B595" s="21" t="str">
        <x:v>CHK0027324</x:v>
      </x:c>
      <x:c r="C595" s="21" t="str">
        <x:v>CHECK PAYMENT - Silva, Burton and Arnold - DP-2026-027324</x:v>
      </x:c>
      <x:c r="D595" s="21" t="str">
        <x:v>Supplier payment</x:v>
      </x:c>
      <x:c r="E595" s="18" t="n">
        <x:v>550.79</x:v>
      </x:c>
      <x:c r="F595" s="18"/>
      <x:c r="G595" s="18" t="n">
        <x:v>-550.79</x:v>
      </x:c>
      <x:c r="H595" s="18" t="n">
        <x:f>H594+G595</x:f>
        <x:v>9130569.39000001</x:v>
      </x:c>
    </x:row>
    <x:row r="596">
      <x:c r="A596" s="20" t="n">
        <x:v>46178</x:v>
      </x:c>
      <x:c r="B596" s="21" t="str">
        <x:v>CHK0027344</x:v>
      </x:c>
      <x:c r="C596" s="21" t="str">
        <x:v>CHECK PAYMENT - Robinson, Yang and Mckay - DP-2026-027344</x:v>
      </x:c>
      <x:c r="D596" s="21" t="str">
        <x:v>Supplier payment</x:v>
      </x:c>
      <x:c r="E596" s="18" t="n">
        <x:v>149.06</x:v>
      </x:c>
      <x:c r="F596" s="18"/>
      <x:c r="G596" s="18" t="n">
        <x:v>-149.06</x:v>
      </x:c>
      <x:c r="H596" s="18" t="n">
        <x:f>H595+G596</x:f>
        <x:v>9130420.33000001</x:v>
      </x:c>
    </x:row>
    <x:row r="597">
      <x:c r="A597" s="20" t="n">
        <x:v>46178</x:v>
      </x:c>
      <x:c r="B597" s="21" t="str">
        <x:v>CHK0027350</x:v>
      </x:c>
      <x:c r="C597" s="21" t="str">
        <x:v>CHECK PAYMENT - Brooks, Johnson and Olson - DP-2026-027350</x:v>
      </x:c>
      <x:c r="D597" s="21" t="str">
        <x:v>Supplier payment</x:v>
      </x:c>
      <x:c r="E597" s="18" t="n">
        <x:v>2394.3</x:v>
      </x:c>
      <x:c r="F597" s="18"/>
      <x:c r="G597" s="18" t="n">
        <x:v>-2394.3</x:v>
      </x:c>
      <x:c r="H597" s="18" t="n">
        <x:f>H596+G597</x:f>
        <x:v>9128026.030000009</x:v>
      </x:c>
    </x:row>
    <x:row r="598">
      <x:c r="A598" s="20" t="n">
        <x:v>46178</x:v>
      </x:c>
      <x:c r="B598" s="21" t="str">
        <x:v>CHK0027351</x:v>
      </x:c>
      <x:c r="C598" s="21" t="str">
        <x:v>CHECK PAYMENT - Hester Ltd - DP-2026-027351</x:v>
      </x:c>
      <x:c r="D598" s="21" t="str">
        <x:v>Supplier payment</x:v>
      </x:c>
      <x:c r="E598" s="18" t="n">
        <x:v>641.66</x:v>
      </x:c>
      <x:c r="F598" s="18"/>
      <x:c r="G598" s="18" t="n">
        <x:v>-641.66</x:v>
      </x:c>
      <x:c r="H598" s="18" t="n">
        <x:f>H597+G598</x:f>
        <x:v>9127384.370000008</x:v>
      </x:c>
    </x:row>
    <x:row r="599">
      <x:c r="A599" s="20" t="n">
        <x:v>46178</x:v>
      </x:c>
      <x:c r="B599" s="21" t="str">
        <x:v>CHK0027353</x:v>
      </x:c>
      <x:c r="C599" s="21" t="str">
        <x:v>CHECK PAYMENT - Smith-Ray - DP-2026-027353</x:v>
      </x:c>
      <x:c r="D599" s="21" t="str">
        <x:v>Supplier payment</x:v>
      </x:c>
      <x:c r="E599" s="18" t="n">
        <x:v>282.98</x:v>
      </x:c>
      <x:c r="F599" s="18"/>
      <x:c r="G599" s="18" t="n">
        <x:v>-282.98</x:v>
      </x:c>
      <x:c r="H599" s="18" t="n">
        <x:f>H598+G599</x:f>
        <x:v>9127101.390000008</x:v>
      </x:c>
    </x:row>
    <x:row r="600">
      <x:c r="A600" s="20" t="n">
        <x:v>46178</x:v>
      </x:c>
      <x:c r="B600" s="21" t="str">
        <x:v>CHK0027361</x:v>
      </x:c>
      <x:c r="C600" s="21" t="str">
        <x:v>CHECK PAYMENT - Berger, Stanley and Cooper - DP-2026-027361</x:v>
      </x:c>
      <x:c r="D600" s="21" t="str">
        <x:v>Supplier payment</x:v>
      </x:c>
      <x:c r="E600" s="18" t="n">
        <x:v>1177.39</x:v>
      </x:c>
      <x:c r="F600" s="18"/>
      <x:c r="G600" s="18" t="n">
        <x:v>-1177.39</x:v>
      </x:c>
      <x:c r="H600" s="18" t="n">
        <x:f>H599+G600</x:f>
        <x:v>9125924.000000007</x:v>
      </x:c>
    </x:row>
    <x:row r="601">
      <x:c r="A601" s="20" t="n">
        <x:v>46178</x:v>
      </x:c>
      <x:c r="B601" s="21" t="str">
        <x:v>CHK0027363</x:v>
      </x:c>
      <x:c r="C601" s="21" t="str">
        <x:v>CHECK PAYMENT - Keith PLC - DP-2026-027363</x:v>
      </x:c>
      <x:c r="D601" s="21" t="str">
        <x:v>Supplier payment</x:v>
      </x:c>
      <x:c r="E601" s="18" t="n">
        <x:v>478.86</x:v>
      </x:c>
      <x:c r="F601" s="18"/>
      <x:c r="G601" s="18" t="n">
        <x:v>-478.86</x:v>
      </x:c>
      <x:c r="H601" s="18" t="n">
        <x:f>H600+G601</x:f>
        <x:v>9125445.140000008</x:v>
      </x:c>
    </x:row>
    <x:row r="602">
      <x:c r="A602" s="20" t="n">
        <x:v>46178</x:v>
      </x:c>
      <x:c r="B602" s="21" t="str">
        <x:v>CHK0027371</x:v>
      </x:c>
      <x:c r="C602" s="21" t="str">
        <x:v>CHECK PAYMENT - Anderson-Noble - DP-2026-027371</x:v>
      </x:c>
      <x:c r="D602" s="21" t="str">
        <x:v>Supplier payment</x:v>
      </x:c>
      <x:c r="E602" s="18" t="n">
        <x:v>578.05</x:v>
      </x:c>
      <x:c r="F602" s="18"/>
      <x:c r="G602" s="18" t="n">
        <x:v>-578.05</x:v>
      </x:c>
      <x:c r="H602" s="18" t="n">
        <x:f>H601+G602</x:f>
        <x:v>9124867.090000007</x:v>
      </x:c>
    </x:row>
    <x:row r="603">
      <x:c r="A603" s="20" t="n">
        <x:v>46178</x:v>
      </x:c>
      <x:c r="B603" s="21" t="str">
        <x:v>CHK0027372</x:v>
      </x:c>
      <x:c r="C603" s="21" t="str">
        <x:v>CHECK PAYMENT - Keith PLC - DP-2026-027372</x:v>
      </x:c>
      <x:c r="D603" s="21" t="str">
        <x:v>Supplier payment</x:v>
      </x:c>
      <x:c r="E603" s="18" t="n">
        <x:v>630.75</x:v>
      </x:c>
      <x:c r="F603" s="18"/>
      <x:c r="G603" s="18" t="n">
        <x:v>-630.75</x:v>
      </x:c>
      <x:c r="H603" s="18" t="n">
        <x:f>H602+G603</x:f>
        <x:v>9124236.340000007</x:v>
      </x:c>
    </x:row>
    <x:row r="604">
      <x:c r="A604" s="20" t="n">
        <x:v>46178</x:v>
      </x:c>
      <x:c r="B604" s="21" t="str">
        <x:v>CHK0027385</x:v>
      </x:c>
      <x:c r="C604" s="21" t="str">
        <x:v>CHECK PAYMENT - Berger, Stanley and Cooper - DP-2026-027385</x:v>
      </x:c>
      <x:c r="D604" s="21" t="str">
        <x:v>Supplier payment</x:v>
      </x:c>
      <x:c r="E604" s="18" t="n">
        <x:v>1257.53</x:v>
      </x:c>
      <x:c r="F604" s="18"/>
      <x:c r="G604" s="18" t="n">
        <x:v>-1257.53</x:v>
      </x:c>
      <x:c r="H604" s="18" t="n">
        <x:f>H603+G604</x:f>
        <x:v>9122978.810000008</x:v>
      </x:c>
    </x:row>
    <x:row r="605">
      <x:c r="A605" s="20" t="n">
        <x:v>46178</x:v>
      </x:c>
      <x:c r="B605" s="21" t="str">
        <x:v>CHK0027392</x:v>
      </x:c>
      <x:c r="C605" s="21" t="str">
        <x:v>CHECK PAYMENT - Hester Ltd - DP-2026-027392</x:v>
      </x:c>
      <x:c r="D605" s="21" t="str">
        <x:v>Supplier payment</x:v>
      </x:c>
      <x:c r="E605" s="18" t="n">
        <x:v>255.36</x:v>
      </x:c>
      <x:c r="F605" s="18"/>
      <x:c r="G605" s="18" t="n">
        <x:v>-255.36</x:v>
      </x:c>
      <x:c r="H605" s="18" t="n">
        <x:f>H604+G605</x:f>
        <x:v>9122723.450000009</x:v>
      </x:c>
    </x:row>
    <x:row r="606">
      <x:c r="A606" s="20" t="n">
        <x:v>46178</x:v>
      </x:c>
      <x:c r="B606" s="21" t="str">
        <x:v>CHK0027395</x:v>
      </x:c>
      <x:c r="C606" s="21" t="str">
        <x:v>CHECK PAYMENT - Williams, Baker and Santos - DP-2026-027395</x:v>
      </x:c>
      <x:c r="D606" s="21" t="str">
        <x:v>Supplier payment</x:v>
      </x:c>
      <x:c r="E606" s="18" t="n">
        <x:v>777.22</x:v>
      </x:c>
      <x:c r="F606" s="18"/>
      <x:c r="G606" s="18" t="n">
        <x:v>-777.22</x:v>
      </x:c>
      <x:c r="H606" s="18" t="n">
        <x:f>H605+G606</x:f>
        <x:v>9121946.230000008</x:v>
      </x:c>
    </x:row>
    <x:row r="607">
      <x:c r="A607" s="20" t="n">
        <x:v>46178</x:v>
      </x:c>
      <x:c r="B607" s="21" t="str">
        <x:v>CHK0027409</x:v>
      </x:c>
      <x:c r="C607" s="21" t="str">
        <x:v>CHECK PAYMENT - Velasquez-Baxter - DP-2026-027409</x:v>
      </x:c>
      <x:c r="D607" s="21" t="str">
        <x:v>Supplier payment</x:v>
      </x:c>
      <x:c r="E607" s="18" t="n">
        <x:v>208.85</x:v>
      </x:c>
      <x:c r="F607" s="18"/>
      <x:c r="G607" s="18" t="n">
        <x:v>-208.85</x:v>
      </x:c>
      <x:c r="H607" s="18" t="n">
        <x:f>H606+G607</x:f>
        <x:v>9121737.380000008</x:v>
      </x:c>
    </x:row>
    <x:row r="608">
      <x:c r="A608" s="20" t="n">
        <x:v>46178</x:v>
      </x:c>
      <x:c r="B608" s="21" t="str">
        <x:v>CHK0027421</x:v>
      </x:c>
      <x:c r="C608" s="21" t="str">
        <x:v>CHECK PAYMENT - Powers-Daniels - DP-2026-027421</x:v>
      </x:c>
      <x:c r="D608" s="21" t="str">
        <x:v>Supplier payment</x:v>
      </x:c>
      <x:c r="E608" s="18" t="n">
        <x:v>231.73</x:v>
      </x:c>
      <x:c r="F608" s="18"/>
      <x:c r="G608" s="18" t="n">
        <x:v>-231.73</x:v>
      </x:c>
      <x:c r="H608" s="18" t="n">
        <x:f>H607+G608</x:f>
        <x:v>9121505.650000008</x:v>
      </x:c>
    </x:row>
    <x:row r="609">
      <x:c r="A609" s="20" t="n">
        <x:v>46178</x:v>
      </x:c>
      <x:c r="B609" s="21" t="str">
        <x:v>CHK0027424</x:v>
      </x:c>
      <x:c r="C609" s="21" t="str">
        <x:v>CHECK PAYMENT - Bell, Pruitt and David - DP-2026-027424</x:v>
      </x:c>
      <x:c r="D609" s="21" t="str">
        <x:v>Supplier payment</x:v>
      </x:c>
      <x:c r="E609" s="18" t="n">
        <x:v>294.46</x:v>
      </x:c>
      <x:c r="F609" s="18"/>
      <x:c r="G609" s="18" t="n">
        <x:v>-294.46</x:v>
      </x:c>
      <x:c r="H609" s="18" t="n">
        <x:f>H608+G609</x:f>
        <x:v>9121211.190000007</x:v>
      </x:c>
    </x:row>
    <x:row r="610">
      <x:c r="A610" s="20" t="n">
        <x:v>46178</x:v>
      </x:c>
      <x:c r="B610" s="21" t="str">
        <x:v>CHK0027435</x:v>
      </x:c>
      <x:c r="C610" s="21" t="str">
        <x:v>CHECK PAYMENT - Collins-Johnson - DP-2026-027435</x:v>
      </x:c>
      <x:c r="D610" s="21" t="str">
        <x:v>Supplier payment</x:v>
      </x:c>
      <x:c r="E610" s="18" t="n">
        <x:v>1062.94</x:v>
      </x:c>
      <x:c r="F610" s="18"/>
      <x:c r="G610" s="18" t="n">
        <x:v>-1062.94</x:v>
      </x:c>
      <x:c r="H610" s="18" t="n">
        <x:f>H609+G610</x:f>
        <x:v>9120148.250000007</x:v>
      </x:c>
    </x:row>
    <x:row r="611">
      <x:c r="A611" s="20" t="n">
        <x:v>46178</x:v>
      </x:c>
      <x:c r="B611" s="21" t="str">
        <x:v>CHK0027480</x:v>
      </x:c>
      <x:c r="C611" s="21" t="str">
        <x:v>CHECK PAYMENT - Keith PLC - DP-2026-027480</x:v>
      </x:c>
      <x:c r="D611" s="21" t="str">
        <x:v>Supplier payment</x:v>
      </x:c>
      <x:c r="E611" s="18" t="n">
        <x:v>1275.14</x:v>
      </x:c>
      <x:c r="F611" s="18"/>
      <x:c r="G611" s="18" t="n">
        <x:v>-1275.14</x:v>
      </x:c>
      <x:c r="H611" s="18" t="n">
        <x:f>H610+G611</x:f>
        <x:v>9118873.110000007</x:v>
      </x:c>
    </x:row>
    <x:row r="612">
      <x:c r="A612" s="20" t="n">
        <x:v>46178</x:v>
      </x:c>
      <x:c r="B612" s="21" t="str">
        <x:v>CHK0027485</x:v>
      </x:c>
      <x:c r="C612" s="21" t="str">
        <x:v>CHECK PAYMENT - Berger, Stanley and Cooper - DP-2026-027485</x:v>
      </x:c>
      <x:c r="D612" s="21" t="str">
        <x:v>Supplier payment</x:v>
      </x:c>
      <x:c r="E612" s="18" t="n">
        <x:v>134.14</x:v>
      </x:c>
      <x:c r="F612" s="18"/>
      <x:c r="G612" s="18" t="n">
        <x:v>-134.14</x:v>
      </x:c>
      <x:c r="H612" s="18" t="n">
        <x:f>H611+G612</x:f>
        <x:v>9118738.970000006</x:v>
      </x:c>
    </x:row>
    <x:row r="613">
      <x:c r="A613" s="20" t="n">
        <x:v>46178</x:v>
      </x:c>
      <x:c r="B613" s="21" t="str">
        <x:v>CHK0027491</x:v>
      </x:c>
      <x:c r="C613" s="21" t="str">
        <x:v>CHECK PAYMENT - Marks, Mitchell and Hernandez - DP-2026-027491</x:v>
      </x:c>
      <x:c r="D613" s="21" t="str">
        <x:v>Supplier payment</x:v>
      </x:c>
      <x:c r="E613" s="18" t="n">
        <x:v>284.06</x:v>
      </x:c>
      <x:c r="F613" s="18"/>
      <x:c r="G613" s="18" t="n">
        <x:v>-284.06</x:v>
      </x:c>
      <x:c r="H613" s="18" t="n">
        <x:f>H612+G613</x:f>
        <x:v>9118454.910000006</x:v>
      </x:c>
    </x:row>
    <x:row r="614">
      <x:c r="A614" s="20" t="n">
        <x:v>46178</x:v>
      </x:c>
      <x:c r="B614" s="21" t="str">
        <x:v>CHK0027500</x:v>
      </x:c>
      <x:c r="C614" s="21" t="str">
        <x:v>CHECK PAYMENT - Hoffman LLC - DP-2026-027500</x:v>
      </x:c>
      <x:c r="D614" s="21" t="str">
        <x:v>Supplier payment</x:v>
      </x:c>
      <x:c r="E614" s="18" t="n">
        <x:v>763.57</x:v>
      </x:c>
      <x:c r="F614" s="18"/>
      <x:c r="G614" s="18" t="n">
        <x:v>-763.57</x:v>
      </x:c>
      <x:c r="H614" s="18" t="n">
        <x:f>H613+G614</x:f>
        <x:v>9117691.340000005</x:v>
      </x:c>
    </x:row>
    <x:row r="615">
      <x:c r="A615" s="20" t="n">
        <x:v>46178</x:v>
      </x:c>
      <x:c r="B615" s="21" t="str">
        <x:v>CHK0027532</x:v>
      </x:c>
      <x:c r="C615" s="21" t="str">
        <x:v>CHECK PAYMENT - Brooks, Johnson and Olson - DP-2026-027532</x:v>
      </x:c>
      <x:c r="D615" s="21" t="str">
        <x:v>Supplier payment</x:v>
      </x:c>
      <x:c r="E615" s="18" t="n">
        <x:v>1543.2</x:v>
      </x:c>
      <x:c r="F615" s="18"/>
      <x:c r="G615" s="18" t="n">
        <x:v>-1543.2</x:v>
      </x:c>
      <x:c r="H615" s="18" t="n">
        <x:f>H614+G615</x:f>
        <x:v>9116148.140000006</x:v>
      </x:c>
    </x:row>
    <x:row r="616">
      <x:c r="A616" s="20" t="n">
        <x:v>46178</x:v>
      </x:c>
      <x:c r="B616" s="21" t="str">
        <x:v>CHK0027540</x:v>
      </x:c>
      <x:c r="C616" s="21" t="str">
        <x:v>CHECK PAYMENT - Velasquez-Baxter - DP-2026-027540</x:v>
      </x:c>
      <x:c r="D616" s="21" t="str">
        <x:v>Supplier payment</x:v>
      </x:c>
      <x:c r="E616" s="18" t="n">
        <x:v>327.07</x:v>
      </x:c>
      <x:c r="F616" s="18"/>
      <x:c r="G616" s="18" t="n">
        <x:v>-327.07</x:v>
      </x:c>
      <x:c r="H616" s="18" t="n">
        <x:f>H615+G616</x:f>
        <x:v>9115821.070000006</x:v>
      </x:c>
    </x:row>
    <x:row r="617">
      <x:c r="A617" s="20" t="n">
        <x:v>46178</x:v>
      </x:c>
      <x:c r="B617" s="21" t="str">
        <x:v>CHK0027565</x:v>
      </x:c>
      <x:c r="C617" s="21" t="str">
        <x:v>CHECK PAYMENT - Peters, Terry and Zimmerman - DP-2026-027565</x:v>
      </x:c>
      <x:c r="D617" s="21" t="str">
        <x:v>Supplier payment</x:v>
      </x:c>
      <x:c r="E617" s="18" t="n">
        <x:v>124.77</x:v>
      </x:c>
      <x:c r="F617" s="18"/>
      <x:c r="G617" s="18" t="n">
        <x:v>-124.77</x:v>
      </x:c>
      <x:c r="H617" s="18" t="n">
        <x:f>H616+G617</x:f>
        <x:v>9115696.300000006</x:v>
      </x:c>
    </x:row>
    <x:row r="618">
      <x:c r="A618" s="20" t="n">
        <x:v>46178</x:v>
      </x:c>
      <x:c r="B618" s="21" t="str">
        <x:v>CHK0027574</x:v>
      </x:c>
      <x:c r="C618" s="21" t="str">
        <x:v>CHECK PAYMENT - Berger, Stanley and Cooper - DP-2026-027574</x:v>
      </x:c>
      <x:c r="D618" s="21" t="str">
        <x:v>Supplier payment</x:v>
      </x:c>
      <x:c r="E618" s="18" t="n">
        <x:v>273.34</x:v>
      </x:c>
      <x:c r="F618" s="18"/>
      <x:c r="G618" s="18" t="n">
        <x:v>-273.34</x:v>
      </x:c>
      <x:c r="H618" s="18" t="n">
        <x:f>H617+G618</x:f>
        <x:v>9115422.960000006</x:v>
      </x:c>
    </x:row>
    <x:row r="619">
      <x:c r="A619" s="20" t="n">
        <x:v>46178</x:v>
      </x:c>
      <x:c r="B619" s="21" t="str">
        <x:v>CHK0027590</x:v>
      </x:c>
      <x:c r="C619" s="21" t="str">
        <x:v>CHECK PAYMENT - Villarreal, Mcdonald and Scott - DP-2026-027590</x:v>
      </x:c>
      <x:c r="D619" s="21" t="str">
        <x:v>Supplier payment</x:v>
      </x:c>
      <x:c r="E619" s="18" t="n">
        <x:v>2233.67</x:v>
      </x:c>
      <x:c r="F619" s="18"/>
      <x:c r="G619" s="18" t="n">
        <x:v>-2233.67</x:v>
      </x:c>
      <x:c r="H619" s="18" t="n">
        <x:f>H618+G619</x:f>
        <x:v>9113189.290000007</x:v>
      </x:c>
    </x:row>
    <x:row r="620">
      <x:c r="A620" s="20" t="n">
        <x:v>46178</x:v>
      </x:c>
      <x:c r="B620" s="21" t="str">
        <x:v>CHK0027591</x:v>
      </x:c>
      <x:c r="C620" s="21" t="str">
        <x:v>CHECK PAYMENT - Peters, Terry and Zimmerman - DP-2026-027591</x:v>
      </x:c>
      <x:c r="D620" s="21" t="str">
        <x:v>Supplier payment</x:v>
      </x:c>
      <x:c r="E620" s="18" t="n">
        <x:v>5792.43</x:v>
      </x:c>
      <x:c r="F620" s="18"/>
      <x:c r="G620" s="18" t="n">
        <x:v>-5792.43</x:v>
      </x:c>
      <x:c r="H620" s="18" t="n">
        <x:f>H619+G620</x:f>
        <x:v>9107396.860000007</x:v>
      </x:c>
    </x:row>
    <x:row r="621">
      <x:c r="A621" s="20" t="n">
        <x:v>46178</x:v>
      </x:c>
      <x:c r="B621" s="21" t="str">
        <x:v>CHK0027617</x:v>
      </x:c>
      <x:c r="C621" s="21" t="str">
        <x:v>CHECK PAYMENT - Anderson-Noble - DP-2026-027617</x:v>
      </x:c>
      <x:c r="D621" s="21" t="str">
        <x:v>Supplier payment</x:v>
      </x:c>
      <x:c r="E621" s="18" t="n">
        <x:v>3648.3</x:v>
      </x:c>
      <x:c r="F621" s="18"/>
      <x:c r="G621" s="18" t="n">
        <x:v>-3648.3</x:v>
      </x:c>
      <x:c r="H621" s="18" t="n">
        <x:f>H620+G621</x:f>
        <x:v>9103748.560000006</x:v>
      </x:c>
    </x:row>
    <x:row r="622">
      <x:c r="A622" s="20" t="n">
        <x:v>46178</x:v>
      </x:c>
      <x:c r="B622" s="21" t="str">
        <x:v>CHK0027662</x:v>
      </x:c>
      <x:c r="C622" s="21" t="str">
        <x:v>CHECK PAYMENT - Bell, Pruitt and David - DP-2026-027662</x:v>
      </x:c>
      <x:c r="D622" s="21" t="str">
        <x:v>Supplier payment</x:v>
      </x:c>
      <x:c r="E622" s="18" t="n">
        <x:v>789.54</x:v>
      </x:c>
      <x:c r="F622" s="18"/>
      <x:c r="G622" s="18" t="n">
        <x:v>-789.54</x:v>
      </x:c>
      <x:c r="H622" s="18" t="n">
        <x:f>H621+G622</x:f>
        <x:v>9102959.020000007</x:v>
      </x:c>
    </x:row>
    <x:row r="623">
      <x:c r="A623" s="20" t="n">
        <x:v>46178</x:v>
      </x:c>
      <x:c r="B623" s="21" t="str">
        <x:v>CHK0027673</x:v>
      </x:c>
      <x:c r="C623" s="21" t="str">
        <x:v>CHECK PAYMENT - Lucas, Green and Richardson - DP-2026-027673</x:v>
      </x:c>
      <x:c r="D623" s="21" t="str">
        <x:v>Supplier payment</x:v>
      </x:c>
      <x:c r="E623" s="18" t="n">
        <x:v>564.69</x:v>
      </x:c>
      <x:c r="F623" s="18"/>
      <x:c r="G623" s="18" t="n">
        <x:v>-564.69</x:v>
      </x:c>
      <x:c r="H623" s="18" t="n">
        <x:f>H622+G623</x:f>
        <x:v>9102394.330000008</x:v>
      </x:c>
    </x:row>
    <x:row r="624">
      <x:c r="A624" s="20" t="n">
        <x:v>46178</x:v>
      </x:c>
      <x:c r="B624" s="21" t="str">
        <x:v>CHK0027675</x:v>
      </x:c>
      <x:c r="C624" s="21" t="str">
        <x:v>CHECK PAYMENT - Cross, Alexander and Romero - DP-2026-027675</x:v>
      </x:c>
      <x:c r="D624" s="21" t="str">
        <x:v>Supplier payment</x:v>
      </x:c>
      <x:c r="E624" s="18" t="n">
        <x:v>276.31</x:v>
      </x:c>
      <x:c r="F624" s="18"/>
      <x:c r="G624" s="18" t="n">
        <x:v>-276.31</x:v>
      </x:c>
      <x:c r="H624" s="18" t="n">
        <x:f>H623+G624</x:f>
        <x:v>9102118.020000007</x:v>
      </x:c>
    </x:row>
    <x:row r="625">
      <x:c r="A625" s="20" t="n">
        <x:v>46178</x:v>
      </x:c>
      <x:c r="B625" s="21" t="str">
        <x:v>CHK0027694</x:v>
      </x:c>
      <x:c r="C625" s="21" t="str">
        <x:v>CHECK PAYMENT - Berger, Stanley and Cooper - DP-2026-027694</x:v>
      </x:c>
      <x:c r="D625" s="21" t="str">
        <x:v>Supplier payment</x:v>
      </x:c>
      <x:c r="E625" s="18" t="n">
        <x:v>329.86</x:v>
      </x:c>
      <x:c r="F625" s="18"/>
      <x:c r="G625" s="18" t="n">
        <x:v>-329.86</x:v>
      </x:c>
      <x:c r="H625" s="18" t="n">
        <x:f>H624+G625</x:f>
        <x:v>9101788.160000008</x:v>
      </x:c>
    </x:row>
    <x:row r="626">
      <x:c r="A626" s="20" t="n">
        <x:v>46178</x:v>
      </x:c>
      <x:c r="B626" s="21" t="str">
        <x:v>CHK0027712</x:v>
      </x:c>
      <x:c r="C626" s="21" t="str">
        <x:v>CHECK PAYMENT - Lindsey and Sons - DP-2026-027712</x:v>
      </x:c>
      <x:c r="D626" s="21" t="str">
        <x:v>Supplier payment</x:v>
      </x:c>
      <x:c r="E626" s="18" t="n">
        <x:v>791.33</x:v>
      </x:c>
      <x:c r="F626" s="18"/>
      <x:c r="G626" s="18" t="n">
        <x:v>-791.33</x:v>
      </x:c>
      <x:c r="H626" s="18" t="n">
        <x:f>H625+G626</x:f>
        <x:v>9100996.830000008</x:v>
      </x:c>
    </x:row>
    <x:row r="627">
      <x:c r="A627" s="20" t="n">
        <x:v>46178</x:v>
      </x:c>
      <x:c r="B627" s="21" t="str">
        <x:v>CHK0027720</x:v>
      </x:c>
      <x:c r="C627" s="21" t="str">
        <x:v>CHECK PAYMENT - Hernandez, Melendez and Mcdowell - DP-2026-027720</x:v>
      </x:c>
      <x:c r="D627" s="21" t="str">
        <x:v>Supplier payment</x:v>
      </x:c>
      <x:c r="E627" s="18" t="n">
        <x:v>338.52</x:v>
      </x:c>
      <x:c r="F627" s="18"/>
      <x:c r="G627" s="18" t="n">
        <x:v>-338.52</x:v>
      </x:c>
      <x:c r="H627" s="18" t="n">
        <x:f>H626+G627</x:f>
        <x:v>9100658.310000008</x:v>
      </x:c>
    </x:row>
    <x:row r="628">
      <x:c r="A628" s="20" t="n">
        <x:v>46178</x:v>
      </x:c>
      <x:c r="B628" s="21" t="str">
        <x:v>CHK0027743</x:v>
      </x:c>
      <x:c r="C628" s="21" t="str">
        <x:v>CHECK PAYMENT - Bell, Pruitt and David - DP-2026-027743</x:v>
      </x:c>
      <x:c r="D628" s="21" t="str">
        <x:v>Supplier payment</x:v>
      </x:c>
      <x:c r="E628" s="18" t="n">
        <x:v>588.41</x:v>
      </x:c>
      <x:c r="F628" s="18"/>
      <x:c r="G628" s="18" t="n">
        <x:v>-588.41</x:v>
      </x:c>
      <x:c r="H628" s="18" t="n">
        <x:f>H627+G628</x:f>
        <x:v>9100069.900000008</x:v>
      </x:c>
    </x:row>
    <x:row r="629">
      <x:c r="A629" s="20" t="n">
        <x:v>46178</x:v>
      </x:c>
      <x:c r="B629" s="21" t="str">
        <x:v>CHK0027745</x:v>
      </x:c>
      <x:c r="C629" s="21" t="str">
        <x:v>CHECK PAYMENT - Davis-Grant - DP-2026-027745</x:v>
      </x:c>
      <x:c r="D629" s="21" t="str">
        <x:v>Supplier payment</x:v>
      </x:c>
      <x:c r="E629" s="18" t="n">
        <x:v>173.15</x:v>
      </x:c>
      <x:c r="F629" s="18"/>
      <x:c r="G629" s="18" t="n">
        <x:v>-173.15</x:v>
      </x:c>
      <x:c r="H629" s="18" t="n">
        <x:f>H628+G629</x:f>
        <x:v>9099896.750000007</x:v>
      </x:c>
    </x:row>
    <x:row r="630">
      <x:c r="A630" s="20" t="n">
        <x:v>46178</x:v>
      </x:c>
      <x:c r="B630" s="21" t="str">
        <x:v>CHK0027749</x:v>
      </x:c>
      <x:c r="C630" s="21" t="str">
        <x:v>CHECK PAYMENT - Hale-Hart - DP-2026-027749</x:v>
      </x:c>
      <x:c r="D630" s="21" t="str">
        <x:v>Supplier payment</x:v>
      </x:c>
      <x:c r="E630" s="18" t="n">
        <x:v>1306.49</x:v>
      </x:c>
      <x:c r="F630" s="18"/>
      <x:c r="G630" s="18" t="n">
        <x:v>-1306.49</x:v>
      </x:c>
      <x:c r="H630" s="18" t="n">
        <x:f>H629+G630</x:f>
        <x:v>9098590.260000007</x:v>
      </x:c>
    </x:row>
    <x:row r="631">
      <x:c r="A631" s="20" t="n">
        <x:v>46178</x:v>
      </x:c>
      <x:c r="B631" s="21" t="str">
        <x:v>CHK0027758</x:v>
      </x:c>
      <x:c r="C631" s="21" t="str">
        <x:v>CHECK PAYMENT - Bell, Pruitt and David - DP-2026-027758</x:v>
      </x:c>
      <x:c r="D631" s="21" t="str">
        <x:v>Supplier payment</x:v>
      </x:c>
      <x:c r="E631" s="18" t="n">
        <x:v>560.07</x:v>
      </x:c>
      <x:c r="F631" s="18"/>
      <x:c r="G631" s="18" t="n">
        <x:v>-560.07</x:v>
      </x:c>
      <x:c r="H631" s="18" t="n">
        <x:f>H630+G631</x:f>
        <x:v>9098030.190000007</x:v>
      </x:c>
    </x:row>
    <x:row r="632">
      <x:c r="A632" s="20" t="n">
        <x:v>46178</x:v>
      </x:c>
      <x:c r="B632" s="21" t="str">
        <x:v>CHK0027775</x:v>
      </x:c>
      <x:c r="C632" s="21" t="str">
        <x:v>CHECK PAYMENT - Hester Ltd - DP-2026-027775</x:v>
      </x:c>
      <x:c r="D632" s="21" t="str">
        <x:v>Supplier payment</x:v>
      </x:c>
      <x:c r="E632" s="18" t="n">
        <x:v>2106.69</x:v>
      </x:c>
      <x:c r="F632" s="18"/>
      <x:c r="G632" s="18" t="n">
        <x:v>-2106.69</x:v>
      </x:c>
      <x:c r="H632" s="18" t="n">
        <x:f>H631+G632</x:f>
        <x:v>9095923.500000007</x:v>
      </x:c>
    </x:row>
    <x:row r="633">
      <x:c r="A633" s="20" t="n">
        <x:v>46178</x:v>
      </x:c>
      <x:c r="B633" s="21" t="str">
        <x:v>CHK0027780</x:v>
      </x:c>
      <x:c r="C633" s="21" t="str">
        <x:v>CHECK PAYMENT - Sweeney PLC - DP-2026-027780</x:v>
      </x:c>
      <x:c r="D633" s="21" t="str">
        <x:v>Supplier payment</x:v>
      </x:c>
      <x:c r="E633" s="18" t="n">
        <x:v>12732.73</x:v>
      </x:c>
      <x:c r="F633" s="18"/>
      <x:c r="G633" s="18" t="n">
        <x:v>-12732.73</x:v>
      </x:c>
      <x:c r="H633" s="18" t="n">
        <x:f>H632+G633</x:f>
        <x:v>9083190.770000007</x:v>
      </x:c>
    </x:row>
    <x:row r="634">
      <x:c r="A634" s="20" t="n">
        <x:v>46178</x:v>
      </x:c>
      <x:c r="B634" s="21" t="str">
        <x:v>CHK0027781</x:v>
      </x:c>
      <x:c r="C634" s="21" t="str">
        <x:v>CHECK PAYMENT - Brooks, Johnson and Olson - DP-2026-027781</x:v>
      </x:c>
      <x:c r="D634" s="21" t="str">
        <x:v>Supplier payment</x:v>
      </x:c>
      <x:c r="E634" s="18" t="n">
        <x:v>817.86</x:v>
      </x:c>
      <x:c r="F634" s="18"/>
      <x:c r="G634" s="18" t="n">
        <x:v>-817.86</x:v>
      </x:c>
      <x:c r="H634" s="18" t="n">
        <x:f>H633+G634</x:f>
        <x:v>9082372.910000008</x:v>
      </x:c>
    </x:row>
    <x:row r="635">
      <x:c r="A635" s="20" t="n">
        <x:v>46178</x:v>
      </x:c>
      <x:c r="B635" s="21" t="str">
        <x:v>CHK0027809</x:v>
      </x:c>
      <x:c r="C635" s="21" t="str">
        <x:v>CHECK PAYMENT - Smith-Ray - DP-2026-027809</x:v>
      </x:c>
      <x:c r="D635" s="21" t="str">
        <x:v>Supplier payment</x:v>
      </x:c>
      <x:c r="E635" s="18" t="n">
        <x:v>114.55</x:v>
      </x:c>
      <x:c r="F635" s="18"/>
      <x:c r="G635" s="18" t="n">
        <x:v>-114.55</x:v>
      </x:c>
      <x:c r="H635" s="18" t="n">
        <x:f>H634+G635</x:f>
        <x:v>9082258.360000007</x:v>
      </x:c>
    </x:row>
    <x:row r="636">
      <x:c r="A636" s="20" t="n">
        <x:v>46178</x:v>
      </x:c>
      <x:c r="B636" s="21" t="str">
        <x:v>CHK0027810</x:v>
      </x:c>
      <x:c r="C636" s="21" t="str">
        <x:v>CHECK PAYMENT - Anderson-Lara - DP-2026-027810</x:v>
      </x:c>
      <x:c r="D636" s="21" t="str">
        <x:v>Supplier payment</x:v>
      </x:c>
      <x:c r="E636" s="18" t="n">
        <x:v>596.78</x:v>
      </x:c>
      <x:c r="F636" s="18"/>
      <x:c r="G636" s="18" t="n">
        <x:v>-596.78</x:v>
      </x:c>
      <x:c r="H636" s="18" t="n">
        <x:f>H635+G636</x:f>
        <x:v>9081661.580000008</x:v>
      </x:c>
    </x:row>
    <x:row r="637">
      <x:c r="A637" s="20" t="n">
        <x:v>46178</x:v>
      </x:c>
      <x:c r="B637" s="21" t="str">
        <x:v>CHK0027812</x:v>
      </x:c>
      <x:c r="C637" s="21" t="str">
        <x:v>CHECK PAYMENT - Peters, Terry and Zimmerman - DP-2026-027812</x:v>
      </x:c>
      <x:c r="D637" s="21" t="str">
        <x:v>Supplier payment</x:v>
      </x:c>
      <x:c r="E637" s="18" t="n">
        <x:v>120.77</x:v>
      </x:c>
      <x:c r="F637" s="18"/>
      <x:c r="G637" s="18" t="n">
        <x:v>-120.77</x:v>
      </x:c>
      <x:c r="H637" s="18" t="n">
        <x:f>H636+G637</x:f>
        <x:v>9081540.810000008</x:v>
      </x:c>
    </x:row>
    <x:row r="638">
      <x:c r="A638" s="20" t="n">
        <x:v>46178</x:v>
      </x:c>
      <x:c r="B638" s="21" t="str">
        <x:v>CHK0027824</x:v>
      </x:c>
      <x:c r="C638" s="21" t="str">
        <x:v>CHECK PAYMENT - Bell, Pruitt and David - DP-2026-027824</x:v>
      </x:c>
      <x:c r="D638" s="21" t="str">
        <x:v>Supplier payment</x:v>
      </x:c>
      <x:c r="E638" s="18" t="n">
        <x:v>168.84</x:v>
      </x:c>
      <x:c r="F638" s="18"/>
      <x:c r="G638" s="18" t="n">
        <x:v>-168.84</x:v>
      </x:c>
      <x:c r="H638" s="18" t="n">
        <x:f>H637+G638</x:f>
        <x:v>9081371.970000008</x:v>
      </x:c>
    </x:row>
    <x:row r="639">
      <x:c r="A639" s="20" t="n">
        <x:v>46178</x:v>
      </x:c>
      <x:c r="B639" s="21" t="str">
        <x:v>CHK0027827</x:v>
      </x:c>
      <x:c r="C639" s="21" t="str">
        <x:v>CHECK PAYMENT - Davis-Grant - DP-2026-027827</x:v>
      </x:c>
      <x:c r="D639" s="21" t="str">
        <x:v>Supplier payment</x:v>
      </x:c>
      <x:c r="E639" s="18" t="n">
        <x:v>806.55</x:v>
      </x:c>
      <x:c r="F639" s="18"/>
      <x:c r="G639" s="18" t="n">
        <x:v>-806.55</x:v>
      </x:c>
      <x:c r="H639" s="18" t="n">
        <x:f>H638+G639</x:f>
        <x:v>9080565.420000007</x:v>
      </x:c>
    </x:row>
    <x:row r="640">
      <x:c r="A640" s="20" t="n">
        <x:v>46178</x:v>
      </x:c>
      <x:c r="B640" s="21" t="str">
        <x:v>CHK0027831</x:v>
      </x:c>
      <x:c r="C640" s="21" t="str">
        <x:v>CHECK PAYMENT - Hoffman LLC - DP-2026-027831</x:v>
      </x:c>
      <x:c r="D640" s="21" t="str">
        <x:v>Supplier payment</x:v>
      </x:c>
      <x:c r="E640" s="18" t="n">
        <x:v>472.5</x:v>
      </x:c>
      <x:c r="F640" s="18"/>
      <x:c r="G640" s="18" t="n">
        <x:v>-472.5</x:v>
      </x:c>
      <x:c r="H640" s="18" t="n">
        <x:f>H639+G640</x:f>
        <x:v>9080092.920000007</x:v>
      </x:c>
    </x:row>
    <x:row r="641">
      <x:c r="A641" s="20" t="n">
        <x:v>46178</x:v>
      </x:c>
      <x:c r="B641" s="21" t="str">
        <x:v>CHK0027882</x:v>
      </x:c>
      <x:c r="C641" s="21" t="str">
        <x:v>CHECK PAYMENT - Peters, Terry and Zimmerman - DP-2026-027882</x:v>
      </x:c>
      <x:c r="D641" s="21" t="str">
        <x:v>Supplier payment</x:v>
      </x:c>
      <x:c r="E641" s="18" t="n">
        <x:v>1484.68</x:v>
      </x:c>
      <x:c r="F641" s="18"/>
      <x:c r="G641" s="18" t="n">
        <x:v>-1484.68</x:v>
      </x:c>
      <x:c r="H641" s="18" t="n">
        <x:f>H640+G641</x:f>
        <x:v>9078608.240000008</x:v>
      </x:c>
    </x:row>
    <x:row r="642">
      <x:c r="A642" s="20" t="n">
        <x:v>46178</x:v>
      </x:c>
      <x:c r="B642" s="21" t="str">
        <x:v>CHK0027945</x:v>
      </x:c>
      <x:c r="C642" s="21" t="str">
        <x:v>CHECK PAYMENT - Brooks, Johnson and Olson - DP-2026-027945</x:v>
      </x:c>
      <x:c r="D642" s="21" t="str">
        <x:v>Supplier payment</x:v>
      </x:c>
      <x:c r="E642" s="18" t="n">
        <x:v>113.28</x:v>
      </x:c>
      <x:c r="F642" s="18"/>
      <x:c r="G642" s="18" t="n">
        <x:v>-113.28</x:v>
      </x:c>
      <x:c r="H642" s="18" t="n">
        <x:f>H641+G642</x:f>
        <x:v>9078494.960000008</x:v>
      </x:c>
    </x:row>
    <x:row r="643">
      <x:c r="A643" s="20" t="n">
        <x:v>46178</x:v>
      </x:c>
      <x:c r="B643" s="21" t="str">
        <x:v>CHK0027981</x:v>
      </x:c>
      <x:c r="C643" s="21" t="str">
        <x:v>CHECK PAYMENT - Morris, Anderson and Chang - DP-2026-027981</x:v>
      </x:c>
      <x:c r="D643" s="21" t="str">
        <x:v>Supplier payment</x:v>
      </x:c>
      <x:c r="E643" s="18" t="n">
        <x:v>3200.57</x:v>
      </x:c>
      <x:c r="F643" s="18"/>
      <x:c r="G643" s="18" t="n">
        <x:v>-3200.57</x:v>
      </x:c>
      <x:c r="H643" s="18" t="n">
        <x:f>H642+G643</x:f>
        <x:v>9075294.390000008</x:v>
      </x:c>
    </x:row>
    <x:row r="644">
      <x:c r="A644" s="20" t="n">
        <x:v>46178</x:v>
      </x:c>
      <x:c r="B644" s="21" t="str">
        <x:v>CHK0028064</x:v>
      </x:c>
      <x:c r="C644" s="21" t="str">
        <x:v>CHECK PAYMENT - Hester Ltd - DP-2026-028064</x:v>
      </x:c>
      <x:c r="D644" s="21" t="str">
        <x:v>Supplier payment</x:v>
      </x:c>
      <x:c r="E644" s="18" t="n">
        <x:v>2074.38</x:v>
      </x:c>
      <x:c r="F644" s="18"/>
      <x:c r="G644" s="18" t="n">
        <x:v>-2074.38</x:v>
      </x:c>
      <x:c r="H644" s="18" t="n">
        <x:f>H643+G644</x:f>
        <x:v>9073220.010000007</x:v>
      </x:c>
    </x:row>
    <x:row r="645">
      <x:c r="A645" s="20" t="n">
        <x:v>46178</x:v>
      </x:c>
      <x:c r="B645" s="21" t="str">
        <x:v>DP-2026-025595</x:v>
      </x:c>
      <x:c r="C645" s="21" t="str">
        <x:v>ACH PAYMENT - Brooks, Johnson and Olson - DP-2026-025595</x:v>
      </x:c>
      <x:c r="D645" s="21" t="str">
        <x:v>Supplier payment</x:v>
      </x:c>
      <x:c r="E645" s="18" t="n">
        <x:v>329.74</x:v>
      </x:c>
      <x:c r="F645" s="18"/>
      <x:c r="G645" s="18" t="n">
        <x:v>-329.74</x:v>
      </x:c>
      <x:c r="H645" s="18" t="n">
        <x:f>H644+G645</x:f>
        <x:v>9072890.270000007</x:v>
      </x:c>
    </x:row>
    <x:row r="646">
      <x:c r="A646" s="20" t="n">
        <x:v>46178</x:v>
      </x:c>
      <x:c r="B646" s="21" t="str">
        <x:v>DP-2026-025596</x:v>
      </x:c>
      <x:c r="C646" s="21" t="str">
        <x:v>ACH PAYMENT - Briggs-Cummings - DP-2026-025596</x:v>
      </x:c>
      <x:c r="D646" s="21" t="str">
        <x:v>Supplier payment</x:v>
      </x:c>
      <x:c r="E646" s="18" t="n">
        <x:v>25.02</x:v>
      </x:c>
      <x:c r="F646" s="18"/>
      <x:c r="G646" s="18" t="n">
        <x:v>-25.02</x:v>
      </x:c>
      <x:c r="H646" s="18" t="n">
        <x:f>H645+G646</x:f>
        <x:v>9072865.250000007</x:v>
      </x:c>
    </x:row>
    <x:row r="647">
      <x:c r="A647" s="20" t="n">
        <x:v>46178</x:v>
      </x:c>
      <x:c r="B647" s="21" t="str">
        <x:v>DP-2026-027091</x:v>
      </x:c>
      <x:c r="C647" s="21" t="str">
        <x:v>ACH PAYMENT - Boone-Benton - DP-2026-027091</x:v>
      </x:c>
      <x:c r="D647" s="21" t="str">
        <x:v>Supplier payment</x:v>
      </x:c>
      <x:c r="E647" s="18" t="n">
        <x:v>370.34</x:v>
      </x:c>
      <x:c r="F647" s="18"/>
      <x:c r="G647" s="18" t="n">
        <x:v>-370.34</x:v>
      </x:c>
      <x:c r="H647" s="18" t="n">
        <x:f>H646+G647</x:f>
        <x:v>9072494.910000008</x:v>
      </x:c>
    </x:row>
    <x:row r="648">
      <x:c r="A648" s="20" t="n">
        <x:v>46178</x:v>
      </x:c>
      <x:c r="B648" s="21" t="str">
        <x:v>DP-2026-027093</x:v>
      </x:c>
      <x:c r="C648" s="21" t="str">
        <x:v>ACH PAYMENT - Marks, Mitchell and Hernandez - DP-2026-027093</x:v>
      </x:c>
      <x:c r="D648" s="21" t="str">
        <x:v>Supplier payment</x:v>
      </x:c>
      <x:c r="E648" s="18" t="n">
        <x:v>513.58</x:v>
      </x:c>
      <x:c r="F648" s="18"/>
      <x:c r="G648" s="18" t="n">
        <x:v>-513.58</x:v>
      </x:c>
      <x:c r="H648" s="18" t="n">
        <x:f>H647+G648</x:f>
        <x:v>9071981.330000008</x:v>
      </x:c>
    </x:row>
    <x:row r="649">
      <x:c r="A649" s="20" t="n">
        <x:v>46178</x:v>
      </x:c>
      <x:c r="B649" s="21" t="str">
        <x:v>DP-2026-027094</x:v>
      </x:c>
      <x:c r="C649" s="21" t="str">
        <x:v>ACH PAYMENT - Gomez PLC - DP-2026-027094</x:v>
      </x:c>
      <x:c r="D649" s="21" t="str">
        <x:v>Supplier payment</x:v>
      </x:c>
      <x:c r="E649" s="18" t="n">
        <x:v>157.09</x:v>
      </x:c>
      <x:c r="F649" s="18"/>
      <x:c r="G649" s="18" t="n">
        <x:v>-157.09</x:v>
      </x:c>
      <x:c r="H649" s="18" t="n">
        <x:f>H648+G649</x:f>
        <x:v>9071824.240000008</x:v>
      </x:c>
    </x:row>
    <x:row r="650">
      <x:c r="A650" s="20" t="n">
        <x:v>46178</x:v>
      </x:c>
      <x:c r="B650" s="21" t="str">
        <x:v>DP-2026-027104</x:v>
      </x:c>
      <x:c r="C650" s="21" t="str">
        <x:v>ACH PAYMENT - Garcia Group - DP-2026-027104</x:v>
      </x:c>
      <x:c r="D650" s="21" t="str">
        <x:v>Supplier payment</x:v>
      </x:c>
      <x:c r="E650" s="18" t="n">
        <x:v>811.83</x:v>
      </x:c>
      <x:c r="F650" s="18"/>
      <x:c r="G650" s="18" t="n">
        <x:v>-811.83</x:v>
      </x:c>
      <x:c r="H650" s="18" t="n">
        <x:f>H649+G650</x:f>
        <x:v>9071012.410000008</x:v>
      </x:c>
    </x:row>
    <x:row r="651">
      <x:c r="A651" s="20" t="n">
        <x:v>46178</x:v>
      </x:c>
      <x:c r="B651" s="21" t="str">
        <x:v>DP-2026-027106</x:v>
      </x:c>
      <x:c r="C651" s="21" t="str">
        <x:v>ACH PAYMENT - Garcia Group - DP-2026-027106</x:v>
      </x:c>
      <x:c r="D651" s="21" t="str">
        <x:v>Supplier payment</x:v>
      </x:c>
      <x:c r="E651" s="18" t="n">
        <x:v>455.19</x:v>
      </x:c>
      <x:c r="F651" s="18"/>
      <x:c r="G651" s="18" t="n">
        <x:v>-455.19</x:v>
      </x:c>
      <x:c r="H651" s="18" t="n">
        <x:f>H650+G651</x:f>
        <x:v>9070557.220000008</x:v>
      </x:c>
    </x:row>
    <x:row r="652">
      <x:c r="A652" s="20" t="n">
        <x:v>46178</x:v>
      </x:c>
      <x:c r="B652" s="21" t="str">
        <x:v>DP-2026-027264</x:v>
      </x:c>
      <x:c r="C652" s="21" t="str">
        <x:v>ACH PAYMENT - Lucas, Green and Richardson - DP-2026-027264</x:v>
      </x:c>
      <x:c r="D652" s="21" t="str">
        <x:v>Supplier payment</x:v>
      </x:c>
      <x:c r="E652" s="18" t="n">
        <x:v>3757.28</x:v>
      </x:c>
      <x:c r="F652" s="18"/>
      <x:c r="G652" s="18" t="n">
        <x:v>-3757.28</x:v>
      </x:c>
      <x:c r="H652" s="18" t="n">
        <x:f>H651+G652</x:f>
        <x:v>9066799.940000009</x:v>
      </x:c>
    </x:row>
    <x:row r="653">
      <x:c r="A653" s="20" t="n">
        <x:v>46178</x:v>
      </x:c>
      <x:c r="B653" s="21" t="str">
        <x:v>DP-2026-027275</x:v>
      </x:c>
      <x:c r="C653" s="21" t="str">
        <x:v>WIRE TRANSFER PAYMENT - Harris, Taylor and Perkins - DP-2026-027275</x:v>
      </x:c>
      <x:c r="D653" s="21" t="str">
        <x:v>Supplier payment</x:v>
      </x:c>
      <x:c r="E653" s="18" t="n">
        <x:v>1519.07</x:v>
      </x:c>
      <x:c r="F653" s="18"/>
      <x:c r="G653" s="18" t="n">
        <x:v>-1519.07</x:v>
      </x:c>
      <x:c r="H653" s="18" t="n">
        <x:f>H652+G653</x:f>
        <x:v>9065280.870000008</x:v>
      </x:c>
    </x:row>
    <x:row r="654">
      <x:c r="A654" s="20" t="n">
        <x:v>46178</x:v>
      </x:c>
      <x:c r="B654" s="21" t="str">
        <x:v>DP-2026-027276</x:v>
      </x:c>
      <x:c r="C654" s="21" t="str">
        <x:v>ACH PAYMENT - Peters, Terry and Zimmerman - DP-2026-027276</x:v>
      </x:c>
      <x:c r="D654" s="21" t="str">
        <x:v>Supplier payment</x:v>
      </x:c>
      <x:c r="E654" s="18" t="n">
        <x:v>569.72</x:v>
      </x:c>
      <x:c r="F654" s="18"/>
      <x:c r="G654" s="18" t="n">
        <x:v>-569.72</x:v>
      </x:c>
      <x:c r="H654" s="18" t="n">
        <x:f>H653+G654</x:f>
        <x:v>9064711.150000008</x:v>
      </x:c>
    </x:row>
    <x:row r="655">
      <x:c r="A655" s="20" t="n">
        <x:v>46178</x:v>
      </x:c>
      <x:c r="B655" s="21" t="str">
        <x:v>DP-2026-027282</x:v>
      </x:c>
      <x:c r="C655" s="21" t="str">
        <x:v>ACH PAYMENT - Silva, Burton and Arnold - DP-2026-027282</x:v>
      </x:c>
      <x:c r="D655" s="21" t="str">
        <x:v>Supplier payment</x:v>
      </x:c>
      <x:c r="E655" s="18" t="n">
        <x:v>608.5</x:v>
      </x:c>
      <x:c r="F655" s="18"/>
      <x:c r="G655" s="18" t="n">
        <x:v>-608.5</x:v>
      </x:c>
      <x:c r="H655" s="18" t="n">
        <x:f>H654+G655</x:f>
        <x:v>9064102.650000008</x:v>
      </x:c>
    </x:row>
    <x:row r="656">
      <x:c r="A656" s="20" t="n">
        <x:v>46178</x:v>
      </x:c>
      <x:c r="B656" s="21" t="str">
        <x:v>DP-2026-027289</x:v>
      </x:c>
      <x:c r="C656" s="21" t="str">
        <x:v>WIRE TRANSFER PAYMENT - Peters, Terry and Zimmerman - DP-2026-027289</x:v>
      </x:c>
      <x:c r="D656" s="21" t="str">
        <x:v>Supplier payment</x:v>
      </x:c>
      <x:c r="E656" s="18" t="n">
        <x:v>2158.85</x:v>
      </x:c>
      <x:c r="F656" s="18"/>
      <x:c r="G656" s="18" t="n">
        <x:v>-2158.85</x:v>
      </x:c>
      <x:c r="H656" s="18" t="n">
        <x:f>H655+G656</x:f>
        <x:v>9061943.800000008</x:v>
      </x:c>
    </x:row>
    <x:row r="657">
      <x:c r="A657" s="20" t="n">
        <x:v>46178</x:v>
      </x:c>
      <x:c r="B657" s="21" t="str">
        <x:v>DP-2026-027291</x:v>
      </x:c>
      <x:c r="C657" s="21" t="str">
        <x:v>ACH PAYMENT - Briggs-Cummings - DP-2026-027291</x:v>
      </x:c>
      <x:c r="D657" s="21" t="str">
        <x:v>Supplier payment</x:v>
      </x:c>
      <x:c r="E657" s="18" t="n">
        <x:v>3877.36</x:v>
      </x:c>
      <x:c r="F657" s="18"/>
      <x:c r="G657" s="18" t="n">
        <x:v>-3877.36</x:v>
      </x:c>
      <x:c r="H657" s="18" t="n">
        <x:f>H656+G657</x:f>
        <x:v>9058066.440000009</x:v>
      </x:c>
    </x:row>
    <x:row r="658">
      <x:c r="A658" s="20" t="n">
        <x:v>46178</x:v>
      </x:c>
      <x:c r="B658" s="21" t="str">
        <x:v>DP-2026-027308</x:v>
      </x:c>
      <x:c r="C658" s="21" t="str">
        <x:v>ACH PAYMENT - Robinson Ltd - DP-2026-027308</x:v>
      </x:c>
      <x:c r="D658" s="21" t="str">
        <x:v>Supplier payment</x:v>
      </x:c>
      <x:c r="E658" s="18" t="n">
        <x:v>65.12</x:v>
      </x:c>
      <x:c r="F658" s="18"/>
      <x:c r="G658" s="18" t="n">
        <x:v>-65.12</x:v>
      </x:c>
      <x:c r="H658" s="18" t="n">
        <x:f>H657+G658</x:f>
        <x:v>9058001.32000001</x:v>
      </x:c>
    </x:row>
    <x:row r="659">
      <x:c r="A659" s="20" t="n">
        <x:v>46178</x:v>
      </x:c>
      <x:c r="B659" s="21" t="str">
        <x:v>DP-2026-027315</x:v>
      </x:c>
      <x:c r="C659" s="21" t="str">
        <x:v>WIRE TRANSFER PAYMENT - Collins-Johnson - DP-2026-027315</x:v>
      </x:c>
      <x:c r="D659" s="21" t="str">
        <x:v>Supplier payment</x:v>
      </x:c>
      <x:c r="E659" s="18" t="n">
        <x:v>327.45</x:v>
      </x:c>
      <x:c r="F659" s="18"/>
      <x:c r="G659" s="18" t="n">
        <x:v>-327.45</x:v>
      </x:c>
      <x:c r="H659" s="18" t="n">
        <x:f>H658+G659</x:f>
        <x:v>9057673.87000001</x:v>
      </x:c>
    </x:row>
    <x:row r="660">
      <x:c r="A660" s="20" t="n">
        <x:v>46178</x:v>
      </x:c>
      <x:c r="B660" s="21" t="str">
        <x:v>DP-2026-027325</x:v>
      </x:c>
      <x:c r="C660" s="21" t="str">
        <x:v>ACH PAYMENT - Boone-Benton - DP-2026-027325</x:v>
      </x:c>
      <x:c r="D660" s="21" t="str">
        <x:v>Supplier payment</x:v>
      </x:c>
      <x:c r="E660" s="18" t="n">
        <x:v>664.06</x:v>
      </x:c>
      <x:c r="F660" s="18"/>
      <x:c r="G660" s="18" t="n">
        <x:v>-664.06</x:v>
      </x:c>
      <x:c r="H660" s="18" t="n">
        <x:f>H659+G660</x:f>
        <x:v>9057009.81000001</x:v>
      </x:c>
    </x:row>
    <x:row r="661">
      <x:c r="A661" s="20" t="n">
        <x:v>46178</x:v>
      </x:c>
      <x:c r="B661" s="21" t="str">
        <x:v>DP-2026-027327</x:v>
      </x:c>
      <x:c r="C661" s="21" t="str">
        <x:v>ACH PAYMENT - Dennis PLC - DP-2026-027327</x:v>
      </x:c>
      <x:c r="D661" s="21" t="str">
        <x:v>Supplier payment</x:v>
      </x:c>
      <x:c r="E661" s="18" t="n">
        <x:v>1841.4</x:v>
      </x:c>
      <x:c r="F661" s="18"/>
      <x:c r="G661" s="18" t="n">
        <x:v>-1841.4</x:v>
      </x:c>
      <x:c r="H661" s="18" t="n">
        <x:f>H660+G661</x:f>
        <x:v>9055168.41000001</x:v>
      </x:c>
    </x:row>
    <x:row r="662">
      <x:c r="A662" s="20" t="n">
        <x:v>46178</x:v>
      </x:c>
      <x:c r="B662" s="21" t="str">
        <x:v>DP-2026-027328</x:v>
      </x:c>
      <x:c r="C662" s="21" t="str">
        <x:v>WIRE TRANSFER PAYMENT - Anderson-Noble - DP-2026-027328</x:v>
      </x:c>
      <x:c r="D662" s="21" t="str">
        <x:v>Supplier payment</x:v>
      </x:c>
      <x:c r="E662" s="18" t="n">
        <x:v>1211.19</x:v>
      </x:c>
      <x:c r="F662" s="18"/>
      <x:c r="G662" s="18" t="n">
        <x:v>-1211.19</x:v>
      </x:c>
      <x:c r="H662" s="18" t="n">
        <x:f>H661+G662</x:f>
        <x:v>9053957.22000001</x:v>
      </x:c>
    </x:row>
    <x:row r="663">
      <x:c r="A663" s="20" t="n">
        <x:v>46178</x:v>
      </x:c>
      <x:c r="B663" s="21" t="str">
        <x:v>DP-2026-027338</x:v>
      </x:c>
      <x:c r="C663" s="21" t="str">
        <x:v>ACH PAYMENT - Nelson-Rocha - DP-2026-027338</x:v>
      </x:c>
      <x:c r="D663" s="21" t="str">
        <x:v>Supplier payment</x:v>
      </x:c>
      <x:c r="E663" s="18" t="n">
        <x:v>575.63</x:v>
      </x:c>
      <x:c r="F663" s="18"/>
      <x:c r="G663" s="18" t="n">
        <x:v>-575.63</x:v>
      </x:c>
      <x:c r="H663" s="18" t="n">
        <x:f>H662+G663</x:f>
        <x:v>9053381.59000001</x:v>
      </x:c>
    </x:row>
    <x:row r="664">
      <x:c r="A664" s="20" t="n">
        <x:v>46178</x:v>
      </x:c>
      <x:c r="B664" s="21" t="str">
        <x:v>DP-2026-027339</x:v>
      </x:c>
      <x:c r="C664" s="21" t="str">
        <x:v>ACH PAYMENT - Berger, Stanley and Cooper - DP-2026-027339</x:v>
      </x:c>
      <x:c r="D664" s="21" t="str">
        <x:v>Supplier payment</x:v>
      </x:c>
      <x:c r="E664" s="18" t="n">
        <x:v>674.3</x:v>
      </x:c>
      <x:c r="F664" s="18"/>
      <x:c r="G664" s="18" t="n">
        <x:v>-674.3</x:v>
      </x:c>
      <x:c r="H664" s="18" t="n">
        <x:f>H663+G664</x:f>
        <x:v>9052707.290000008</x:v>
      </x:c>
    </x:row>
    <x:row r="665">
      <x:c r="A665" s="20" t="n">
        <x:v>46178</x:v>
      </x:c>
      <x:c r="B665" s="21" t="str">
        <x:v>DP-2026-027341</x:v>
      </x:c>
      <x:c r="C665" s="21" t="str">
        <x:v>ACH PAYMENT - Yang-Sandoval - DP-2026-027341</x:v>
      </x:c>
      <x:c r="D665" s="21" t="str">
        <x:v>Supplier payment</x:v>
      </x:c>
      <x:c r="E665" s="18" t="n">
        <x:v>1383.81</x:v>
      </x:c>
      <x:c r="F665" s="18"/>
      <x:c r="G665" s="18" t="n">
        <x:v>-1383.81</x:v>
      </x:c>
      <x:c r="H665" s="18" t="n">
        <x:f>H664+G665</x:f>
        <x:v>9051323.480000008</x:v>
      </x:c>
    </x:row>
    <x:row r="666">
      <x:c r="A666" s="20" t="n">
        <x:v>46178</x:v>
      </x:c>
      <x:c r="B666" s="21" t="str">
        <x:v>DP-2026-027345</x:v>
      </x:c>
      <x:c r="C666" s="21" t="str">
        <x:v>ACH PAYMENT - Lindsey and Sons - DP-2026-027345</x:v>
      </x:c>
      <x:c r="D666" s="21" t="str">
        <x:v>Supplier payment</x:v>
      </x:c>
      <x:c r="E666" s="18" t="n">
        <x:v>596.12</x:v>
      </x:c>
      <x:c r="F666" s="18"/>
      <x:c r="G666" s="18" t="n">
        <x:v>-596.12</x:v>
      </x:c>
      <x:c r="H666" s="18" t="n">
        <x:f>H665+G666</x:f>
        <x:v>9050727.360000009</x:v>
      </x:c>
    </x:row>
    <x:row r="667">
      <x:c r="A667" s="20" t="n">
        <x:v>46178</x:v>
      </x:c>
      <x:c r="B667" s="21" t="str">
        <x:v>DP-2026-027362</x:v>
      </x:c>
      <x:c r="C667" s="21" t="str">
        <x:v>ACH PAYMENT - Robinson Ltd - DP-2026-027362</x:v>
      </x:c>
      <x:c r="D667" s="21" t="str">
        <x:v>Supplier payment</x:v>
      </x:c>
      <x:c r="E667" s="18" t="n">
        <x:v>144.31</x:v>
      </x:c>
      <x:c r="F667" s="18"/>
      <x:c r="G667" s="18" t="n">
        <x:v>-144.31</x:v>
      </x:c>
      <x:c r="H667" s="18" t="n">
        <x:f>H666+G667</x:f>
        <x:v>9050583.050000008</x:v>
      </x:c>
    </x:row>
    <x:row r="668">
      <x:c r="A668" s="20" t="n">
        <x:v>46178</x:v>
      </x:c>
      <x:c r="B668" s="21" t="str">
        <x:v>DP-2026-027366</x:v>
      </x:c>
      <x:c r="C668" s="21" t="str">
        <x:v>ACH PAYMENT - Bell, Pruitt and David - DP-2026-027366</x:v>
      </x:c>
      <x:c r="D668" s="21" t="str">
        <x:v>Supplier payment</x:v>
      </x:c>
      <x:c r="E668" s="18" t="n">
        <x:v>483.97</x:v>
      </x:c>
      <x:c r="F668" s="18"/>
      <x:c r="G668" s="18" t="n">
        <x:v>-483.97</x:v>
      </x:c>
      <x:c r="H668" s="18" t="n">
        <x:f>H667+G668</x:f>
        <x:v>9050099.080000008</x:v>
      </x:c>
    </x:row>
    <x:row r="669">
      <x:c r="A669" s="20" t="n">
        <x:v>46178</x:v>
      </x:c>
      <x:c r="B669" s="21" t="str">
        <x:v>DP-2026-027368</x:v>
      </x:c>
      <x:c r="C669" s="21" t="str">
        <x:v>ACH PAYMENT - Martinez LLC - DP-2026-027368</x:v>
      </x:c>
      <x:c r="D669" s="21" t="str">
        <x:v>Supplier payment</x:v>
      </x:c>
      <x:c r="E669" s="18" t="n">
        <x:v>16.74</x:v>
      </x:c>
      <x:c r="F669" s="18"/>
      <x:c r="G669" s="18" t="n">
        <x:v>-16.74</x:v>
      </x:c>
      <x:c r="H669" s="18" t="n">
        <x:f>H668+G669</x:f>
        <x:v>9050082.340000007</x:v>
      </x:c>
    </x:row>
    <x:row r="670">
      <x:c r="A670" s="20" t="n">
        <x:v>46178</x:v>
      </x:c>
      <x:c r="B670" s="21" t="str">
        <x:v>DP-2026-027374</x:v>
      </x:c>
      <x:c r="C670" s="21" t="str">
        <x:v>WIRE TRANSFER PAYMENT - Berger, Stanley and Cooper - DP-2026-027374</x:v>
      </x:c>
      <x:c r="D670" s="21" t="str">
        <x:v>Supplier payment</x:v>
      </x:c>
      <x:c r="E670" s="18" t="n">
        <x:v>1865.22</x:v>
      </x:c>
      <x:c r="F670" s="18"/>
      <x:c r="G670" s="18" t="n">
        <x:v>-1865.22</x:v>
      </x:c>
      <x:c r="H670" s="18" t="n">
        <x:f>H669+G670</x:f>
        <x:v>9048217.120000007</x:v>
      </x:c>
    </x:row>
    <x:row r="671">
      <x:c r="A671" s="20" t="n">
        <x:v>46178</x:v>
      </x:c>
      <x:c r="B671" s="21" t="str">
        <x:v>DP-2026-027375</x:v>
      </x:c>
      <x:c r="C671" s="21" t="str">
        <x:v>ACH PAYMENT - Berger, Stanley and Cooper - DP-2026-027375</x:v>
      </x:c>
      <x:c r="D671" s="21" t="str">
        <x:v>Supplier payment</x:v>
      </x:c>
      <x:c r="E671" s="18" t="n">
        <x:v>1113.82</x:v>
      </x:c>
      <x:c r="F671" s="18"/>
      <x:c r="G671" s="18" t="n">
        <x:v>-1113.82</x:v>
      </x:c>
      <x:c r="H671" s="18" t="n">
        <x:f>H670+G671</x:f>
        <x:v>9047103.300000006</x:v>
      </x:c>
    </x:row>
    <x:row r="672">
      <x:c r="A672" s="20" t="n">
        <x:v>46178</x:v>
      </x:c>
      <x:c r="B672" s="21" t="str">
        <x:v>DP-2026-027394</x:v>
      </x:c>
      <x:c r="C672" s="21" t="str">
        <x:v>ACH PAYMENT - Bailey, Gutierrez and Cameron - DP-2026-027394</x:v>
      </x:c>
      <x:c r="D672" s="21" t="str">
        <x:v>Supplier payment</x:v>
      </x:c>
      <x:c r="E672" s="18" t="n">
        <x:v>528.95</x:v>
      </x:c>
      <x:c r="F672" s="18"/>
      <x:c r="G672" s="18" t="n">
        <x:v>-528.95</x:v>
      </x:c>
      <x:c r="H672" s="18" t="n">
        <x:f>H671+G672</x:f>
        <x:v>9046574.350000007</x:v>
      </x:c>
    </x:row>
    <x:row r="673">
      <x:c r="A673" s="20" t="n">
        <x:v>46178</x:v>
      </x:c>
      <x:c r="B673" s="21" t="str">
        <x:v>DP-2026-027408</x:v>
      </x:c>
      <x:c r="C673" s="21" t="str">
        <x:v>ACH PAYMENT - Brooks, Johnson and Olson - DP-2026-027408</x:v>
      </x:c>
      <x:c r="D673" s="21" t="str">
        <x:v>Supplier payment</x:v>
      </x:c>
      <x:c r="E673" s="18" t="n">
        <x:v>1263.05</x:v>
      </x:c>
      <x:c r="F673" s="18"/>
      <x:c r="G673" s="18" t="n">
        <x:v>-1263.05</x:v>
      </x:c>
      <x:c r="H673" s="18" t="n">
        <x:f>H672+G673</x:f>
        <x:v>9045311.300000006</x:v>
      </x:c>
    </x:row>
    <x:row r="674">
      <x:c r="A674" s="20" t="n">
        <x:v>46178</x:v>
      </x:c>
      <x:c r="B674" s="21" t="str">
        <x:v>DP-2026-027410</x:v>
      </x:c>
      <x:c r="C674" s="21" t="str">
        <x:v>ACH PAYMENT - Velasquez-Baxter - DP-2026-027410</x:v>
      </x:c>
      <x:c r="D674" s="21" t="str">
        <x:v>Supplier payment</x:v>
      </x:c>
      <x:c r="E674" s="18" t="n">
        <x:v>254.64</x:v>
      </x:c>
      <x:c r="F674" s="18"/>
      <x:c r="G674" s="18" t="n">
        <x:v>-254.64</x:v>
      </x:c>
      <x:c r="H674" s="18" t="n">
        <x:f>H673+G674</x:f>
        <x:v>9045056.660000006</x:v>
      </x:c>
    </x:row>
    <x:row r="675">
      <x:c r="A675" s="20" t="n">
        <x:v>46178</x:v>
      </x:c>
      <x:c r="B675" s="21" t="str">
        <x:v>DP-2026-027414</x:v>
      </x:c>
      <x:c r="C675" s="21" t="str">
        <x:v>ACH PAYMENT - Brooks, Johnson and Olson - DP-2026-027414</x:v>
      </x:c>
      <x:c r="D675" s="21" t="str">
        <x:v>Supplier payment</x:v>
      </x:c>
      <x:c r="E675" s="18" t="n">
        <x:v>939.74</x:v>
      </x:c>
      <x:c r="F675" s="18"/>
      <x:c r="G675" s="18" t="n">
        <x:v>-939.74</x:v>
      </x:c>
      <x:c r="H675" s="18" t="n">
        <x:f>H674+G675</x:f>
        <x:v>9044116.920000006</x:v>
      </x:c>
    </x:row>
    <x:row r="676">
      <x:c r="A676" s="20" t="n">
        <x:v>46178</x:v>
      </x:c>
      <x:c r="B676" s="21" t="str">
        <x:v>DP-2026-027415</x:v>
      </x:c>
      <x:c r="C676" s="21" t="str">
        <x:v>ACH PAYMENT - Collins-Johnson - DP-2026-027415</x:v>
      </x:c>
      <x:c r="D676" s="21" t="str">
        <x:v>Supplier payment</x:v>
      </x:c>
      <x:c r="E676" s="18" t="n">
        <x:v>506.04</x:v>
      </x:c>
      <x:c r="F676" s="18"/>
      <x:c r="G676" s="18" t="n">
        <x:v>-506.04</x:v>
      </x:c>
      <x:c r="H676" s="18" t="n">
        <x:f>H675+G676</x:f>
        <x:v>9043610.880000006</x:v>
      </x:c>
    </x:row>
    <x:row r="677">
      <x:c r="A677" s="20" t="n">
        <x:v>46178</x:v>
      </x:c>
      <x:c r="B677" s="21" t="str">
        <x:v>DP-2026-027422</x:v>
      </x:c>
      <x:c r="C677" s="21" t="str">
        <x:v>ACH PAYMENT - Perez-Byrd - DP-2026-027422</x:v>
      </x:c>
      <x:c r="D677" s="21" t="str">
        <x:v>Supplier payment</x:v>
      </x:c>
      <x:c r="E677" s="18" t="n">
        <x:v>358.29</x:v>
      </x:c>
      <x:c r="F677" s="18"/>
      <x:c r="G677" s="18" t="n">
        <x:v>-358.29</x:v>
      </x:c>
      <x:c r="H677" s="18" t="n">
        <x:f>H676+G677</x:f>
        <x:v>9043252.590000007</x:v>
      </x:c>
    </x:row>
    <x:row r="678">
      <x:c r="A678" s="20" t="n">
        <x:v>46178</x:v>
      </x:c>
      <x:c r="B678" s="21" t="str">
        <x:v>DP-2026-027432</x:v>
      </x:c>
      <x:c r="C678" s="21" t="str">
        <x:v>ACH PAYMENT - Torres Ltd - DP-2026-027432</x:v>
      </x:c>
      <x:c r="D678" s="21" t="str">
        <x:v>Supplier payment</x:v>
      </x:c>
      <x:c r="E678" s="18" t="n">
        <x:v>262.34</x:v>
      </x:c>
      <x:c r="F678" s="18"/>
      <x:c r="G678" s="18" t="n">
        <x:v>-262.34</x:v>
      </x:c>
      <x:c r="H678" s="18" t="n">
        <x:f>H677+G678</x:f>
        <x:v>9042990.250000007</x:v>
      </x:c>
    </x:row>
    <x:row r="679">
      <x:c r="A679" s="20" t="n">
        <x:v>46178</x:v>
      </x:c>
      <x:c r="B679" s="21" t="str">
        <x:v>DP-2026-027434</x:v>
      </x:c>
      <x:c r="C679" s="21" t="str">
        <x:v>ACH PAYMENT - Morrison-Smith - DP-2026-027434</x:v>
      </x:c>
      <x:c r="D679" s="21" t="str">
        <x:v>Supplier payment</x:v>
      </x:c>
      <x:c r="E679" s="18" t="n">
        <x:v>130.75</x:v>
      </x:c>
      <x:c r="F679" s="18"/>
      <x:c r="G679" s="18" t="n">
        <x:v>-130.75</x:v>
      </x:c>
      <x:c r="H679" s="18" t="n">
        <x:f>H678+G679</x:f>
        <x:v>9042859.500000007</x:v>
      </x:c>
    </x:row>
    <x:row r="680">
      <x:c r="A680" s="20" t="n">
        <x:v>46178</x:v>
      </x:c>
      <x:c r="B680" s="21" t="str">
        <x:v>DP-2026-027445</x:v>
      </x:c>
      <x:c r="C680" s="21" t="str">
        <x:v>ACH PAYMENT - Nash LLC - DP-2026-027445</x:v>
      </x:c>
      <x:c r="D680" s="21" t="str">
        <x:v>Supplier payment</x:v>
      </x:c>
      <x:c r="E680" s="18" t="n">
        <x:v>1429.86</x:v>
      </x:c>
      <x:c r="F680" s="18"/>
      <x:c r="G680" s="18" t="n">
        <x:v>-1429.86</x:v>
      </x:c>
      <x:c r="H680" s="18" t="n">
        <x:f>H679+G680</x:f>
        <x:v>9041429.640000008</x:v>
      </x:c>
    </x:row>
    <x:row r="681">
      <x:c r="A681" s="20" t="n">
        <x:v>46178</x:v>
      </x:c>
      <x:c r="B681" s="21" t="str">
        <x:v>DP-2026-027446</x:v>
      </x:c>
      <x:c r="C681" s="21" t="str">
        <x:v>ACH PAYMENT - Powers-Daniels - DP-2026-027446</x:v>
      </x:c>
      <x:c r="D681" s="21" t="str">
        <x:v>Supplier payment</x:v>
      </x:c>
      <x:c r="E681" s="18" t="n">
        <x:v>2440.82</x:v>
      </x:c>
      <x:c r="F681" s="18"/>
      <x:c r="G681" s="18" t="n">
        <x:v>-2440.82</x:v>
      </x:c>
      <x:c r="H681" s="18" t="n">
        <x:f>H680+G681</x:f>
        <x:v>9038988.820000008</x:v>
      </x:c>
    </x:row>
    <x:row r="682">
      <x:c r="A682" s="20" t="n">
        <x:v>46178</x:v>
      </x:c>
      <x:c r="B682" s="21" t="str">
        <x:v>DP-2026-027461</x:v>
      </x:c>
      <x:c r="C682" s="21" t="str">
        <x:v>ACH PAYMENT - Powers-Daniels - DP-2026-027461</x:v>
      </x:c>
      <x:c r="D682" s="21" t="str">
        <x:v>Supplier payment</x:v>
      </x:c>
      <x:c r="E682" s="18" t="n">
        <x:v>970.47</x:v>
      </x:c>
      <x:c r="F682" s="18"/>
      <x:c r="G682" s="18" t="n">
        <x:v>-970.47</x:v>
      </x:c>
      <x:c r="H682" s="18" t="n">
        <x:f>H681+G682</x:f>
        <x:v>9038018.350000007</x:v>
      </x:c>
    </x:row>
    <x:row r="683">
      <x:c r="A683" s="20" t="n">
        <x:v>46178</x:v>
      </x:c>
      <x:c r="B683" s="21" t="str">
        <x:v>DP-2026-027492</x:v>
      </x:c>
      <x:c r="C683" s="21" t="str">
        <x:v>ACH PAYMENT - Boone-Benton - DP-2026-027492</x:v>
      </x:c>
      <x:c r="D683" s="21" t="str">
        <x:v>Supplier payment</x:v>
      </x:c>
      <x:c r="E683" s="18" t="n">
        <x:v>685.77</x:v>
      </x:c>
      <x:c r="F683" s="18"/>
      <x:c r="G683" s="18" t="n">
        <x:v>-685.77</x:v>
      </x:c>
      <x:c r="H683" s="18" t="n">
        <x:f>H682+G683</x:f>
        <x:v>9037332.580000008</x:v>
      </x:c>
    </x:row>
    <x:row r="684">
      <x:c r="A684" s="20" t="n">
        <x:v>46178</x:v>
      </x:c>
      <x:c r="B684" s="21" t="str">
        <x:v>DP-2026-027494</x:v>
      </x:c>
      <x:c r="C684" s="21" t="str">
        <x:v>ACH PAYMENT - Velasquez-Baxter - DP-2026-027494</x:v>
      </x:c>
      <x:c r="D684" s="21" t="str">
        <x:v>Supplier payment</x:v>
      </x:c>
      <x:c r="E684" s="18" t="n">
        <x:v>1387.87</x:v>
      </x:c>
      <x:c r="F684" s="18"/>
      <x:c r="G684" s="18" t="n">
        <x:v>-1387.87</x:v>
      </x:c>
      <x:c r="H684" s="18" t="n">
        <x:f>H683+G684</x:f>
        <x:v>9035944.710000008</x:v>
      </x:c>
    </x:row>
    <x:row r="685">
      <x:c r="A685" s="20" t="n">
        <x:v>46178</x:v>
      </x:c>
      <x:c r="B685" s="21" t="str">
        <x:v>DP-2026-027495</x:v>
      </x:c>
      <x:c r="C685" s="21" t="str">
        <x:v>ACH PAYMENT - Berger, Stanley and Cooper - DP-2026-027495</x:v>
      </x:c>
      <x:c r="D685" s="21" t="str">
        <x:v>Supplier payment</x:v>
      </x:c>
      <x:c r="E685" s="18" t="n">
        <x:v>137.54</x:v>
      </x:c>
      <x:c r="F685" s="18"/>
      <x:c r="G685" s="18" t="n">
        <x:v>-137.54</x:v>
      </x:c>
      <x:c r="H685" s="18" t="n">
        <x:f>H684+G685</x:f>
        <x:v>9035807.17000001</x:v>
      </x:c>
    </x:row>
    <x:row r="686">
      <x:c r="A686" s="20" t="n">
        <x:v>46178</x:v>
      </x:c>
      <x:c r="B686" s="21" t="str">
        <x:v>DP-2026-027497</x:v>
      </x:c>
      <x:c r="C686" s="21" t="str">
        <x:v>ACH PAYMENT - Berger, Stanley and Cooper - DP-2026-027497</x:v>
      </x:c>
      <x:c r="D686" s="21" t="str">
        <x:v>Supplier payment</x:v>
      </x:c>
      <x:c r="E686" s="18" t="n">
        <x:v>549.22</x:v>
      </x:c>
      <x:c r="F686" s="18"/>
      <x:c r="G686" s="18" t="n">
        <x:v>-549.22</x:v>
      </x:c>
      <x:c r="H686" s="18" t="n">
        <x:f>H685+G686</x:f>
        <x:v>9035257.950000009</x:v>
      </x:c>
    </x:row>
    <x:row r="687">
      <x:c r="A687" s="20" t="n">
        <x:v>46178</x:v>
      </x:c>
      <x:c r="B687" s="21" t="str">
        <x:v>DP-2026-027519</x:v>
      </x:c>
      <x:c r="C687" s="21" t="str">
        <x:v>ACH PAYMENT - Hester Ltd - DP-2026-027519</x:v>
      </x:c>
      <x:c r="D687" s="21" t="str">
        <x:v>Supplier payment</x:v>
      </x:c>
      <x:c r="E687" s="18" t="n">
        <x:v>311.58</x:v>
      </x:c>
      <x:c r="F687" s="18"/>
      <x:c r="G687" s="18" t="n">
        <x:v>-311.58</x:v>
      </x:c>
      <x:c r="H687" s="18" t="n">
        <x:f>H686+G687</x:f>
        <x:v>9034946.370000008</x:v>
      </x:c>
    </x:row>
    <x:row r="688">
      <x:c r="A688" s="20" t="n">
        <x:v>46178</x:v>
      </x:c>
      <x:c r="B688" s="21" t="str">
        <x:v>DP-2026-027521</x:v>
      </x:c>
      <x:c r="C688" s="21" t="str">
        <x:v>ACH PAYMENT - Hester Ltd - DP-2026-027521</x:v>
      </x:c>
      <x:c r="D688" s="21" t="str">
        <x:v>Supplier payment</x:v>
      </x:c>
      <x:c r="E688" s="18" t="n">
        <x:v>25562.79</x:v>
      </x:c>
      <x:c r="F688" s="18"/>
      <x:c r="G688" s="18" t="n">
        <x:v>-25562.79</x:v>
      </x:c>
      <x:c r="H688" s="18" t="n">
        <x:f>H687+G688</x:f>
        <x:v>9009383.58000001</x:v>
      </x:c>
    </x:row>
    <x:row r="689">
      <x:c r="A689" s="20" t="n">
        <x:v>46178</x:v>
      </x:c>
      <x:c r="B689" s="21" t="str">
        <x:v>DP-2026-027526</x:v>
      </x:c>
      <x:c r="C689" s="21" t="str">
        <x:v>WIRE TRANSFER PAYMENT - Villarreal, Mcdonald and Scott - DP-2026-027526</x:v>
      </x:c>
      <x:c r="D689" s="21" t="str">
        <x:v>Supplier payment</x:v>
      </x:c>
      <x:c r="E689" s="18" t="n">
        <x:v>198.19</x:v>
      </x:c>
      <x:c r="F689" s="18"/>
      <x:c r="G689" s="18" t="n">
        <x:v>-198.19</x:v>
      </x:c>
      <x:c r="H689" s="18" t="n">
        <x:f>H688+G689</x:f>
        <x:v>9009185.39000001</x:v>
      </x:c>
    </x:row>
    <x:row r="690">
      <x:c r="A690" s="20" t="n">
        <x:v>46178</x:v>
      </x:c>
      <x:c r="B690" s="21" t="str">
        <x:v>DP-2026-027527</x:v>
      </x:c>
      <x:c r="C690" s="21" t="str">
        <x:v>WIRE TRANSFER PAYMENT - Gay, Clark and Hickman - DP-2026-027527</x:v>
      </x:c>
      <x:c r="D690" s="21" t="str">
        <x:v>Supplier payment</x:v>
      </x:c>
      <x:c r="E690" s="18" t="n">
        <x:v>973.57</x:v>
      </x:c>
      <x:c r="F690" s="18"/>
      <x:c r="G690" s="18" t="n">
        <x:v>-973.57</x:v>
      </x:c>
      <x:c r="H690" s="18" t="n">
        <x:f>H689+G690</x:f>
        <x:v>9008211.82000001</x:v>
      </x:c>
    </x:row>
    <x:row r="691">
      <x:c r="A691" s="20" t="n">
        <x:v>46178</x:v>
      </x:c>
      <x:c r="B691" s="21" t="str">
        <x:v>DP-2026-027531</x:v>
      </x:c>
      <x:c r="C691" s="21" t="str">
        <x:v>ACH PAYMENT - Hoffman LLC - DP-2026-027531</x:v>
      </x:c>
      <x:c r="D691" s="21" t="str">
        <x:v>Supplier payment</x:v>
      </x:c>
      <x:c r="E691" s="18" t="n">
        <x:v>683.54</x:v>
      </x:c>
      <x:c r="F691" s="18"/>
      <x:c r="G691" s="18" t="n">
        <x:v>-683.54</x:v>
      </x:c>
      <x:c r="H691" s="18" t="n">
        <x:f>H690+G691</x:f>
        <x:v>9007528.28000001</x:v>
      </x:c>
    </x:row>
    <x:row r="692">
      <x:c r="A692" s="20" t="n">
        <x:v>46178</x:v>
      </x:c>
      <x:c r="B692" s="21" t="str">
        <x:v>DP-2026-027533</x:v>
      </x:c>
      <x:c r="C692" s="21" t="str">
        <x:v>ACH PAYMENT - Gardner-Shelton - DP-2026-027533</x:v>
      </x:c>
      <x:c r="D692" s="21" t="str">
        <x:v>Supplier payment</x:v>
      </x:c>
      <x:c r="E692" s="18" t="n">
        <x:v>517.45</x:v>
      </x:c>
      <x:c r="F692" s="18"/>
      <x:c r="G692" s="18" t="n">
        <x:v>-517.45</x:v>
      </x:c>
      <x:c r="H692" s="18" t="n">
        <x:f>H691+G692</x:f>
        <x:v>9007010.830000011</x:v>
      </x:c>
    </x:row>
    <x:row r="693">
      <x:c r="A693" s="20" t="n">
        <x:v>46178</x:v>
      </x:c>
      <x:c r="B693" s="21" t="str">
        <x:v>DP-2026-027546</x:v>
      </x:c>
      <x:c r="C693" s="21" t="str">
        <x:v>ACH PAYMENT - Berger, Stanley and Cooper - DP-2026-027546</x:v>
      </x:c>
      <x:c r="D693" s="21" t="str">
        <x:v>Supplier payment</x:v>
      </x:c>
      <x:c r="E693" s="18" t="n">
        <x:v>71.13</x:v>
      </x:c>
      <x:c r="F693" s="18"/>
      <x:c r="G693" s="18" t="n">
        <x:v>-71.13</x:v>
      </x:c>
      <x:c r="H693" s="18" t="n">
        <x:f>H692+G693</x:f>
        <x:v>9006939.70000001</x:v>
      </x:c>
    </x:row>
    <x:row r="694">
      <x:c r="A694" s="20" t="n">
        <x:v>46178</x:v>
      </x:c>
      <x:c r="B694" s="21" t="str">
        <x:v>DP-2026-027559</x:v>
      </x:c>
      <x:c r="C694" s="21" t="str">
        <x:v>ACH PAYMENT - Munoz, Garcia and Olsen - DP-2026-027559</x:v>
      </x:c>
      <x:c r="D694" s="21" t="str">
        <x:v>Supplier payment</x:v>
      </x:c>
      <x:c r="E694" s="18" t="n">
        <x:v>737.22</x:v>
      </x:c>
      <x:c r="F694" s="18"/>
      <x:c r="G694" s="18" t="n">
        <x:v>-737.22</x:v>
      </x:c>
      <x:c r="H694" s="18" t="n">
        <x:f>H693+G694</x:f>
        <x:v>9006202.48000001</x:v>
      </x:c>
    </x:row>
    <x:row r="695">
      <x:c r="A695" s="20" t="n">
        <x:v>46178</x:v>
      </x:c>
      <x:c r="B695" s="21" t="str">
        <x:v>DP-2026-027569</x:v>
      </x:c>
      <x:c r="C695" s="21" t="str">
        <x:v>ACH PAYMENT - Brooks, Johnson and Olson - DP-2026-027569</x:v>
      </x:c>
      <x:c r="D695" s="21" t="str">
        <x:v>Supplier payment</x:v>
      </x:c>
      <x:c r="E695" s="18" t="n">
        <x:v>464.77</x:v>
      </x:c>
      <x:c r="F695" s="18"/>
      <x:c r="G695" s="18" t="n">
        <x:v>-464.77</x:v>
      </x:c>
      <x:c r="H695" s="18" t="n">
        <x:f>H694+G695</x:f>
        <x:v>9005737.71000001</x:v>
      </x:c>
    </x:row>
    <x:row r="696">
      <x:c r="A696" s="20" t="n">
        <x:v>46178</x:v>
      </x:c>
      <x:c r="B696" s="21" t="str">
        <x:v>DP-2026-027592</x:v>
      </x:c>
      <x:c r="C696" s="21" t="str">
        <x:v>ACH PAYMENT - Keith PLC - DP-2026-027592</x:v>
      </x:c>
      <x:c r="D696" s="21" t="str">
        <x:v>Supplier payment</x:v>
      </x:c>
      <x:c r="E696" s="18" t="n">
        <x:v>189.43</x:v>
      </x:c>
      <x:c r="F696" s="18"/>
      <x:c r="G696" s="18" t="n">
        <x:v>-189.43</x:v>
      </x:c>
      <x:c r="H696" s="18" t="n">
        <x:f>H695+G696</x:f>
        <x:v>9005548.28000001</x:v>
      </x:c>
    </x:row>
    <x:row r="697">
      <x:c r="A697" s="20" t="n">
        <x:v>46178</x:v>
      </x:c>
      <x:c r="B697" s="21" t="str">
        <x:v>DP-2026-027597</x:v>
      </x:c>
      <x:c r="C697" s="21" t="str">
        <x:v>ACH PAYMENT - Keith PLC - DP-2026-027597</x:v>
      </x:c>
      <x:c r="D697" s="21" t="str">
        <x:v>Supplier payment</x:v>
      </x:c>
      <x:c r="E697" s="18" t="n">
        <x:v>1740.49</x:v>
      </x:c>
      <x:c r="F697" s="18"/>
      <x:c r="G697" s="18" t="n">
        <x:v>-1740.49</x:v>
      </x:c>
      <x:c r="H697" s="18" t="n">
        <x:f>H696+G697</x:f>
        <x:v>9003807.79000001</x:v>
      </x:c>
    </x:row>
    <x:row r="698">
      <x:c r="A698" s="20" t="n">
        <x:v>46178</x:v>
      </x:c>
      <x:c r="B698" s="21" t="str">
        <x:v>DP-2026-027606</x:v>
      </x:c>
      <x:c r="C698" s="21" t="str">
        <x:v>ACH PAYMENT - Hester Ltd - DP-2026-027606</x:v>
      </x:c>
      <x:c r="D698" s="21" t="str">
        <x:v>Supplier payment</x:v>
      </x:c>
      <x:c r="E698" s="18" t="n">
        <x:v>1986.28</x:v>
      </x:c>
      <x:c r="F698" s="18"/>
      <x:c r="G698" s="18" t="n">
        <x:v>-1986.28</x:v>
      </x:c>
      <x:c r="H698" s="18" t="n">
        <x:f>H697+G698</x:f>
        <x:v>9001821.510000011</x:v>
      </x:c>
    </x:row>
    <x:row r="699">
      <x:c r="A699" s="20" t="n">
        <x:v>46178</x:v>
      </x:c>
      <x:c r="B699" s="21" t="str">
        <x:v>DP-2026-027608</x:v>
      </x:c>
      <x:c r="C699" s="21" t="str">
        <x:v>ACH PAYMENT - Lucas, Green and Richardson - DP-2026-027608</x:v>
      </x:c>
      <x:c r="D699" s="21" t="str">
        <x:v>Supplier payment</x:v>
      </x:c>
      <x:c r="E699" s="18" t="n">
        <x:v>149.85</x:v>
      </x:c>
      <x:c r="F699" s="18"/>
      <x:c r="G699" s="18" t="n">
        <x:v>-149.85</x:v>
      </x:c>
      <x:c r="H699" s="18" t="n">
        <x:f>H698+G699</x:f>
        <x:v>9001671.660000011</x:v>
      </x:c>
    </x:row>
    <x:row r="700">
      <x:c r="A700" s="20" t="n">
        <x:v>46178</x:v>
      </x:c>
      <x:c r="B700" s="21" t="str">
        <x:v>DP-2026-027613</x:v>
      </x:c>
      <x:c r="C700" s="21" t="str">
        <x:v>ACH PAYMENT - Velasquez-Baxter - DP-2026-027613</x:v>
      </x:c>
      <x:c r="D700" s="21" t="str">
        <x:v>Supplier payment</x:v>
      </x:c>
      <x:c r="E700" s="18" t="n">
        <x:v>1197.45</x:v>
      </x:c>
      <x:c r="F700" s="18"/>
      <x:c r="G700" s="18" t="n">
        <x:v>-1197.45</x:v>
      </x:c>
      <x:c r="H700" s="18" t="n">
        <x:f>H699+G700</x:f>
        <x:v>9000474.210000012</x:v>
      </x:c>
    </x:row>
    <x:row r="701">
      <x:c r="A701" s="20" t="n">
        <x:v>46178</x:v>
      </x:c>
      <x:c r="B701" s="21" t="str">
        <x:v>DP-2026-027614</x:v>
      </x:c>
      <x:c r="C701" s="21" t="str">
        <x:v>ACH PAYMENT - Bell, Pruitt and David - DP-2026-027614</x:v>
      </x:c>
      <x:c r="D701" s="21" t="str">
        <x:v>Supplier payment</x:v>
      </x:c>
      <x:c r="E701" s="18" t="n">
        <x:v>947.42</x:v>
      </x:c>
      <x:c r="F701" s="18"/>
      <x:c r="G701" s="18" t="n">
        <x:v>-947.42</x:v>
      </x:c>
      <x:c r="H701" s="18" t="n">
        <x:f>H700+G701</x:f>
        <x:v>8999526.790000012</x:v>
      </x:c>
    </x:row>
    <x:row r="702">
      <x:c r="A702" s="20" t="n">
        <x:v>46178</x:v>
      </x:c>
      <x:c r="B702" s="21" t="str">
        <x:v>DP-2026-027615</x:v>
      </x:c>
      <x:c r="C702" s="21" t="str">
        <x:v>ACH PAYMENT - Keith PLC - DP-2026-027615</x:v>
      </x:c>
      <x:c r="D702" s="21" t="str">
        <x:v>Supplier payment</x:v>
      </x:c>
      <x:c r="E702" s="18" t="n">
        <x:v>79.01</x:v>
      </x:c>
      <x:c r="F702" s="18"/>
      <x:c r="G702" s="18" t="n">
        <x:v>-79.01</x:v>
      </x:c>
      <x:c r="H702" s="18" t="n">
        <x:f>H701+G702</x:f>
        <x:v>8999447.780000012</x:v>
      </x:c>
    </x:row>
    <x:row r="703">
      <x:c r="A703" s="20" t="n">
        <x:v>46178</x:v>
      </x:c>
      <x:c r="B703" s="21" t="str">
        <x:v>DP-2026-027616</x:v>
      </x:c>
      <x:c r="C703" s="21" t="str">
        <x:v>ACH PAYMENT - Powers-Daniels - DP-2026-027616</x:v>
      </x:c>
      <x:c r="D703" s="21" t="str">
        <x:v>Supplier payment</x:v>
      </x:c>
      <x:c r="E703" s="18" t="n">
        <x:v>214.79</x:v>
      </x:c>
      <x:c r="F703" s="18"/>
      <x:c r="G703" s="18" t="n">
        <x:v>-214.79</x:v>
      </x:c>
      <x:c r="H703" s="18" t="n">
        <x:f>H702+G703</x:f>
        <x:v>8999232.990000013</x:v>
      </x:c>
    </x:row>
    <x:row r="704">
      <x:c r="A704" s="20" t="n">
        <x:v>46178</x:v>
      </x:c>
      <x:c r="B704" s="21" t="str">
        <x:v>DP-2026-027622</x:v>
      </x:c>
      <x:c r="C704" s="21" t="str">
        <x:v>ACH PAYMENT - Brooks, Johnson and Olson - DP-2026-027622</x:v>
      </x:c>
      <x:c r="D704" s="21" t="str">
        <x:v>Supplier payment</x:v>
      </x:c>
      <x:c r="E704" s="18" t="n">
        <x:v>1336.78</x:v>
      </x:c>
      <x:c r="F704" s="18"/>
      <x:c r="G704" s="18" t="n">
        <x:v>-1336.78</x:v>
      </x:c>
      <x:c r="H704" s="18" t="n">
        <x:f>H703+G704</x:f>
        <x:v>8997896.210000014</x:v>
      </x:c>
    </x:row>
    <x:row r="705">
      <x:c r="A705" s="20" t="n">
        <x:v>46178</x:v>
      </x:c>
      <x:c r="B705" s="21" t="str">
        <x:v>DP-2026-027625</x:v>
      </x:c>
      <x:c r="C705" s="21" t="str">
        <x:v>ACH PAYMENT - Lyons-Sheppard - DP-2026-027625</x:v>
      </x:c>
      <x:c r="D705" s="21" t="str">
        <x:v>Supplier payment</x:v>
      </x:c>
      <x:c r="E705" s="18" t="n">
        <x:v>186.18</x:v>
      </x:c>
      <x:c r="F705" s="18"/>
      <x:c r="G705" s="18" t="n">
        <x:v>-186.18</x:v>
      </x:c>
      <x:c r="H705" s="18" t="n">
        <x:f>H704+G705</x:f>
        <x:v>8997710.030000014</x:v>
      </x:c>
    </x:row>
    <x:row r="706">
      <x:c r="A706" s="20" t="n">
        <x:v>46178</x:v>
      </x:c>
      <x:c r="B706" s="21" t="str">
        <x:v>DP-2026-027627</x:v>
      </x:c>
      <x:c r="C706" s="21" t="str">
        <x:v>ACH PAYMENT - Perez-Byrd - DP-2026-027627</x:v>
      </x:c>
      <x:c r="D706" s="21" t="str">
        <x:v>Supplier payment</x:v>
      </x:c>
      <x:c r="E706" s="18" t="n">
        <x:v>205.72</x:v>
      </x:c>
      <x:c r="F706" s="18"/>
      <x:c r="G706" s="18" t="n">
        <x:v>-205.72</x:v>
      </x:c>
      <x:c r="H706" s="18" t="n">
        <x:f>H705+G706</x:f>
        <x:v>8997504.310000014</x:v>
      </x:c>
    </x:row>
    <x:row r="707">
      <x:c r="A707" s="20" t="n">
        <x:v>46178</x:v>
      </x:c>
      <x:c r="B707" s="21" t="str">
        <x:v>DP-2026-027631</x:v>
      </x:c>
      <x:c r="C707" s="21" t="str">
        <x:v>WIRE TRANSFER PAYMENT - Salas, Gallagher and Anderson - DP-2026-027631</x:v>
      </x:c>
      <x:c r="D707" s="21" t="str">
        <x:v>Supplier payment</x:v>
      </x:c>
      <x:c r="E707" s="18" t="n">
        <x:v>419.99</x:v>
      </x:c>
      <x:c r="F707" s="18"/>
      <x:c r="G707" s="18" t="n">
        <x:v>-419.99</x:v>
      </x:c>
      <x:c r="H707" s="18" t="n">
        <x:f>H706+G707</x:f>
        <x:v>8997084.320000013</x:v>
      </x:c>
    </x:row>
    <x:row r="708">
      <x:c r="A708" s="20" t="n">
        <x:v>46178</x:v>
      </x:c>
      <x:c r="B708" s="21" t="str">
        <x:v>DP-2026-027635</x:v>
      </x:c>
      <x:c r="C708" s="21" t="str">
        <x:v>ACH PAYMENT - Hoffman LLC - DP-2026-027635</x:v>
      </x:c>
      <x:c r="D708" s="21" t="str">
        <x:v>Supplier payment</x:v>
      </x:c>
      <x:c r="E708" s="18" t="n">
        <x:v>1223.57</x:v>
      </x:c>
      <x:c r="F708" s="18"/>
      <x:c r="G708" s="18" t="n">
        <x:v>-1223.57</x:v>
      </x:c>
      <x:c r="H708" s="18" t="n">
        <x:f>H707+G708</x:f>
        <x:v>8995860.750000013</x:v>
      </x:c>
    </x:row>
    <x:row r="709">
      <x:c r="A709" s="20" t="n">
        <x:v>46178</x:v>
      </x:c>
      <x:c r="B709" s="21" t="str">
        <x:v>DP-2026-027647</x:v>
      </x:c>
      <x:c r="C709" s="21" t="str">
        <x:v>ACH PAYMENT - Thomas LLC - DP-2026-027647</x:v>
      </x:c>
      <x:c r="D709" s="21" t="str">
        <x:v>Supplier payment</x:v>
      </x:c>
      <x:c r="E709" s="18" t="n">
        <x:v>394.07</x:v>
      </x:c>
      <x:c r="F709" s="18"/>
      <x:c r="G709" s="18" t="n">
        <x:v>-394.07</x:v>
      </x:c>
      <x:c r="H709" s="18" t="n">
        <x:f>H708+G709</x:f>
        <x:v>8995466.680000013</x:v>
      </x:c>
    </x:row>
    <x:row r="710">
      <x:c r="A710" s="20" t="n">
        <x:v>46178</x:v>
      </x:c>
      <x:c r="B710" s="21" t="str">
        <x:v>DP-2026-027650</x:v>
      </x:c>
      <x:c r="C710" s="21" t="str">
        <x:v>ACH PAYMENT - Day PLC - DP-2026-027650</x:v>
      </x:c>
      <x:c r="D710" s="21" t="str">
        <x:v>Supplier payment</x:v>
      </x:c>
      <x:c r="E710" s="18" t="n">
        <x:v>44.52</x:v>
      </x:c>
      <x:c r="F710" s="18"/>
      <x:c r="G710" s="18" t="n">
        <x:v>-44.52</x:v>
      </x:c>
      <x:c r="H710" s="18" t="n">
        <x:f>H709+G710</x:f>
        <x:v>8995422.160000013</x:v>
      </x:c>
    </x:row>
    <x:row r="711">
      <x:c r="A711" s="20" t="n">
        <x:v>46178</x:v>
      </x:c>
      <x:c r="B711" s="21" t="str">
        <x:v>DP-2026-027653</x:v>
      </x:c>
      <x:c r="C711" s="21" t="str">
        <x:v>ACH PAYMENT - Turner PLC - DP-2026-027653</x:v>
      </x:c>
      <x:c r="D711" s="21" t="str">
        <x:v>Supplier payment</x:v>
      </x:c>
      <x:c r="E711" s="18" t="n">
        <x:v>1098.35</x:v>
      </x:c>
      <x:c r="F711" s="18"/>
      <x:c r="G711" s="18" t="n">
        <x:v>-1098.35</x:v>
      </x:c>
      <x:c r="H711" s="18" t="n">
        <x:f>H710+G711</x:f>
        <x:v>8994323.810000014</x:v>
      </x:c>
    </x:row>
    <x:row r="712">
      <x:c r="A712" s="20" t="n">
        <x:v>46178</x:v>
      </x:c>
      <x:c r="B712" s="21" t="str">
        <x:v>DP-2026-027655</x:v>
      </x:c>
      <x:c r="C712" s="21" t="str">
        <x:v>ACH PAYMENT - Lucas, Green and Richardson - DP-2026-027655</x:v>
      </x:c>
      <x:c r="D712" s="21" t="str">
        <x:v>Supplier payment</x:v>
      </x:c>
      <x:c r="E712" s="18" t="n">
        <x:v>1290.77</x:v>
      </x:c>
      <x:c r="F712" s="18"/>
      <x:c r="G712" s="18" t="n">
        <x:v>-1290.77</x:v>
      </x:c>
      <x:c r="H712" s="18" t="n">
        <x:f>H711+G712</x:f>
        <x:v>8993033.040000014</x:v>
      </x:c>
    </x:row>
    <x:row r="713">
      <x:c r="A713" s="20" t="n">
        <x:v>46178</x:v>
      </x:c>
      <x:c r="B713" s="21" t="str">
        <x:v>DP-2026-027659</x:v>
      </x:c>
      <x:c r="C713" s="21" t="str">
        <x:v>ACH PAYMENT - Collins-Johnson - DP-2026-027659</x:v>
      </x:c>
      <x:c r="D713" s="21" t="str">
        <x:v>Supplier payment</x:v>
      </x:c>
      <x:c r="E713" s="18" t="n">
        <x:v>365.36</x:v>
      </x:c>
      <x:c r="F713" s="18"/>
      <x:c r="G713" s="18" t="n">
        <x:v>-365.36</x:v>
      </x:c>
      <x:c r="H713" s="18" t="n">
        <x:f>H712+G713</x:f>
        <x:v>8992667.680000015</x:v>
      </x:c>
    </x:row>
    <x:row r="714">
      <x:c r="A714" s="20" t="n">
        <x:v>46178</x:v>
      </x:c>
      <x:c r="B714" s="21" t="str">
        <x:v>DP-2026-027663</x:v>
      </x:c>
      <x:c r="C714" s="21" t="str">
        <x:v>ACH PAYMENT - Garcia Group - DP-2026-027663</x:v>
      </x:c>
      <x:c r="D714" s="21" t="str">
        <x:v>Supplier payment</x:v>
      </x:c>
      <x:c r="E714" s="18" t="n">
        <x:v>1664.86</x:v>
      </x:c>
      <x:c r="F714" s="18"/>
      <x:c r="G714" s="18" t="n">
        <x:v>-1664.86</x:v>
      </x:c>
      <x:c r="H714" s="18" t="n">
        <x:f>H713+G714</x:f>
        <x:v>8991002.820000015</x:v>
      </x:c>
    </x:row>
    <x:row r="715">
      <x:c r="A715" s="20" t="n">
        <x:v>46178</x:v>
      </x:c>
      <x:c r="B715" s="21" t="str">
        <x:v>DP-2026-027666</x:v>
      </x:c>
      <x:c r="C715" s="21" t="str">
        <x:v>ACH PAYMENT - Hernandez, Melendez and Mcdowell - DP-2026-027666</x:v>
      </x:c>
      <x:c r="D715" s="21" t="str">
        <x:v>Supplier payment</x:v>
      </x:c>
      <x:c r="E715" s="18" t="n">
        <x:v>2134.9</x:v>
      </x:c>
      <x:c r="F715" s="18"/>
      <x:c r="G715" s="18" t="n">
        <x:v>-2134.9</x:v>
      </x:c>
      <x:c r="H715" s="18" t="n">
        <x:f>H714+G715</x:f>
        <x:v>8988867.920000015</x:v>
      </x:c>
    </x:row>
    <x:row r="716">
      <x:c r="A716" s="20" t="n">
        <x:v>46178</x:v>
      </x:c>
      <x:c r="B716" s="21" t="str">
        <x:v>DP-2026-027687</x:v>
      </x:c>
      <x:c r="C716" s="21" t="str">
        <x:v>ACH PAYMENT - Garcia Group - DP-2026-027687</x:v>
      </x:c>
      <x:c r="D716" s="21" t="str">
        <x:v>Supplier payment</x:v>
      </x:c>
      <x:c r="E716" s="18" t="n">
        <x:v>742.48</x:v>
      </x:c>
      <x:c r="F716" s="18"/>
      <x:c r="G716" s="18" t="n">
        <x:v>-742.48</x:v>
      </x:c>
      <x:c r="H716" s="18" t="n">
        <x:f>H715+G716</x:f>
        <x:v>8988125.440000014</x:v>
      </x:c>
    </x:row>
    <x:row r="717">
      <x:c r="A717" s="20" t="n">
        <x:v>46178</x:v>
      </x:c>
      <x:c r="B717" s="21" t="str">
        <x:v>DP-2026-027690</x:v>
      </x:c>
      <x:c r="C717" s="21" t="str">
        <x:v>WIRE TRANSFER PAYMENT - Peters, Terry and Zimmerman - DP-2026-027690</x:v>
      </x:c>
      <x:c r="D717" s="21" t="str">
        <x:v>Supplier payment</x:v>
      </x:c>
      <x:c r="E717" s="18" t="n">
        <x:v>2039.65</x:v>
      </x:c>
      <x:c r="F717" s="18"/>
      <x:c r="G717" s="18" t="n">
        <x:v>-2039.65</x:v>
      </x:c>
      <x:c r="H717" s="18" t="n">
        <x:f>H716+G717</x:f>
        <x:v>8986085.790000014</x:v>
      </x:c>
    </x:row>
    <x:row r="718">
      <x:c r="A718" s="20" t="n">
        <x:v>46178</x:v>
      </x:c>
      <x:c r="B718" s="21" t="str">
        <x:v>DP-2026-027702</x:v>
      </x:c>
      <x:c r="C718" s="21" t="str">
        <x:v>ACH PAYMENT - Donaldson LLC - DP-2026-027702</x:v>
      </x:c>
      <x:c r="D718" s="21" t="str">
        <x:v>Supplier payment</x:v>
      </x:c>
      <x:c r="E718" s="18" t="n">
        <x:v>463.23</x:v>
      </x:c>
      <x:c r="F718" s="18"/>
      <x:c r="G718" s="18" t="n">
        <x:v>-463.23</x:v>
      </x:c>
      <x:c r="H718" s="18" t="n">
        <x:f>H717+G718</x:f>
        <x:v>8985622.560000014</x:v>
      </x:c>
    </x:row>
    <x:row r="719">
      <x:c r="A719" s="20" t="n">
        <x:v>46178</x:v>
      </x:c>
      <x:c r="B719" s="21" t="str">
        <x:v>DP-2026-027703</x:v>
      </x:c>
      <x:c r="C719" s="21" t="str">
        <x:v>ACH PAYMENT - Coleman-Moore - DP-2026-027703</x:v>
      </x:c>
      <x:c r="D719" s="21" t="str">
        <x:v>Supplier payment</x:v>
      </x:c>
      <x:c r="E719" s="18" t="n">
        <x:v>593.48</x:v>
      </x:c>
      <x:c r="F719" s="18"/>
      <x:c r="G719" s="18" t="n">
        <x:v>-593.48</x:v>
      </x:c>
      <x:c r="H719" s="18" t="n">
        <x:f>H718+G719</x:f>
        <x:v>8985029.080000013</x:v>
      </x:c>
    </x:row>
    <x:row r="720">
      <x:c r="A720" s="20" t="n">
        <x:v>46178</x:v>
      </x:c>
      <x:c r="B720" s="21" t="str">
        <x:v>DP-2026-027716</x:v>
      </x:c>
      <x:c r="C720" s="21" t="str">
        <x:v>ACH PAYMENT - Hester Ltd - DP-2026-027716</x:v>
      </x:c>
      <x:c r="D720" s="21" t="str">
        <x:v>Supplier payment</x:v>
      </x:c>
      <x:c r="E720" s="18" t="n">
        <x:v>1067.54</x:v>
      </x:c>
      <x:c r="F720" s="18"/>
      <x:c r="G720" s="18" t="n">
        <x:v>-1067.54</x:v>
      </x:c>
      <x:c r="H720" s="18" t="n">
        <x:f>H719+G720</x:f>
        <x:v>8983961.540000014</x:v>
      </x:c>
    </x:row>
    <x:row r="721">
      <x:c r="A721" s="20" t="n">
        <x:v>46178</x:v>
      </x:c>
      <x:c r="B721" s="21" t="str">
        <x:v>DP-2026-027727</x:v>
      </x:c>
      <x:c r="C721" s="21" t="str">
        <x:v>ACH PAYMENT - Gardner-Shelton - DP-2026-027727</x:v>
      </x:c>
      <x:c r="D721" s="21" t="str">
        <x:v>Supplier payment</x:v>
      </x:c>
      <x:c r="E721" s="18" t="n">
        <x:v>454.04</x:v>
      </x:c>
      <x:c r="F721" s="18"/>
      <x:c r="G721" s="18" t="n">
        <x:v>-454.04</x:v>
      </x:c>
      <x:c r="H721" s="18" t="n">
        <x:f>H720+G721</x:f>
        <x:v>8983507.500000015</x:v>
      </x:c>
    </x:row>
    <x:row r="722">
      <x:c r="A722" s="20" t="n">
        <x:v>46178</x:v>
      </x:c>
      <x:c r="B722" s="21" t="str">
        <x:v>DP-2026-027730</x:v>
      </x:c>
      <x:c r="C722" s="21" t="str">
        <x:v>ACH PAYMENT - Torres Ltd - DP-2026-027730</x:v>
      </x:c>
      <x:c r="D722" s="21" t="str">
        <x:v>Supplier payment</x:v>
      </x:c>
      <x:c r="E722" s="18" t="n">
        <x:v>102.18</x:v>
      </x:c>
      <x:c r="F722" s="18"/>
      <x:c r="G722" s="18" t="n">
        <x:v>-102.18</x:v>
      </x:c>
      <x:c r="H722" s="18" t="n">
        <x:f>H721+G722</x:f>
        <x:v>8983405.320000015</x:v>
      </x:c>
    </x:row>
    <x:row r="723">
      <x:c r="A723" s="20" t="n">
        <x:v>46178</x:v>
      </x:c>
      <x:c r="B723" s="21" t="str">
        <x:v>DP-2026-027735</x:v>
      </x:c>
      <x:c r="C723" s="21" t="str">
        <x:v>ACH PAYMENT - Nguyen-Weaver - DP-2026-027735</x:v>
      </x:c>
      <x:c r="D723" s="21" t="str">
        <x:v>Supplier payment</x:v>
      </x:c>
      <x:c r="E723" s="18" t="n">
        <x:v>423.05</x:v>
      </x:c>
      <x:c r="F723" s="18"/>
      <x:c r="G723" s="18" t="n">
        <x:v>-423.05</x:v>
      </x:c>
      <x:c r="H723" s="18" t="n">
        <x:f>H722+G723</x:f>
        <x:v>8982982.270000014</x:v>
      </x:c>
    </x:row>
    <x:row r="724">
      <x:c r="A724" s="20" t="n">
        <x:v>46178</x:v>
      </x:c>
      <x:c r="B724" s="21" t="str">
        <x:v>DP-2026-027737</x:v>
      </x:c>
      <x:c r="C724" s="21" t="str">
        <x:v>ACH PAYMENT - Berger, Stanley and Cooper - DP-2026-027737</x:v>
      </x:c>
      <x:c r="D724" s="21" t="str">
        <x:v>Supplier payment</x:v>
      </x:c>
      <x:c r="E724" s="18" t="n">
        <x:v>962.33</x:v>
      </x:c>
      <x:c r="F724" s="18"/>
      <x:c r="G724" s="18" t="n">
        <x:v>-962.33</x:v>
      </x:c>
      <x:c r="H724" s="18" t="n">
        <x:f>H723+G724</x:f>
        <x:v>8982019.940000014</x:v>
      </x:c>
    </x:row>
    <x:row r="725">
      <x:c r="A725" s="20" t="n">
        <x:v>46178</x:v>
      </x:c>
      <x:c r="B725" s="21" t="str">
        <x:v>DP-2026-027742</x:v>
      </x:c>
      <x:c r="C725" s="21" t="str">
        <x:v>ACH PAYMENT - House-Hodges - DP-2026-027742</x:v>
      </x:c>
      <x:c r="D725" s="21" t="str">
        <x:v>Supplier payment</x:v>
      </x:c>
      <x:c r="E725" s="18" t="n">
        <x:v>723.92</x:v>
      </x:c>
      <x:c r="F725" s="18"/>
      <x:c r="G725" s="18" t="n">
        <x:v>-723.92</x:v>
      </x:c>
      <x:c r="H725" s="18" t="n">
        <x:f>H724+G725</x:f>
        <x:v>8981296.020000014</x:v>
      </x:c>
    </x:row>
    <x:row r="726">
      <x:c r="A726" s="20" t="n">
        <x:v>46178</x:v>
      </x:c>
      <x:c r="B726" s="21" t="str">
        <x:v>DP-2026-027751</x:v>
      </x:c>
      <x:c r="C726" s="21" t="str">
        <x:v>ACH PAYMENT - Powers-Daniels - DP-2026-027751</x:v>
      </x:c>
      <x:c r="D726" s="21" t="str">
        <x:v>Supplier payment</x:v>
      </x:c>
      <x:c r="E726" s="18" t="n">
        <x:v>102.84</x:v>
      </x:c>
      <x:c r="F726" s="18"/>
      <x:c r="G726" s="18" t="n">
        <x:v>-102.84</x:v>
      </x:c>
      <x:c r="H726" s="18" t="n">
        <x:f>H725+G726</x:f>
        <x:v>8981193.180000015</x:v>
      </x:c>
    </x:row>
    <x:row r="727">
      <x:c r="A727" s="20" t="n">
        <x:v>46178</x:v>
      </x:c>
      <x:c r="B727" s="21" t="str">
        <x:v>DP-2026-027754</x:v>
      </x:c>
      <x:c r="C727" s="21" t="str">
        <x:v>ACH PAYMENT - Fuller LLC - DP-2026-027754</x:v>
      </x:c>
      <x:c r="D727" s="21" t="str">
        <x:v>Supplier payment</x:v>
      </x:c>
      <x:c r="E727" s="18" t="n">
        <x:v>650.28</x:v>
      </x:c>
      <x:c r="F727" s="18"/>
      <x:c r="G727" s="18" t="n">
        <x:v>-650.28</x:v>
      </x:c>
      <x:c r="H727" s="18" t="n">
        <x:f>H726+G727</x:f>
        <x:v>8980542.900000015</x:v>
      </x:c>
    </x:row>
    <x:row r="728">
      <x:c r="A728" s="20" t="n">
        <x:v>46178</x:v>
      </x:c>
      <x:c r="B728" s="21" t="str">
        <x:v>DP-2026-027760</x:v>
      </x:c>
      <x:c r="C728" s="21" t="str">
        <x:v>ACH PAYMENT - Harris, Taylor and Perkins - DP-2026-027760</x:v>
      </x:c>
      <x:c r="D728" s="21" t="str">
        <x:v>Supplier payment</x:v>
      </x:c>
      <x:c r="E728" s="18" t="n">
        <x:v>114</x:v>
      </x:c>
      <x:c r="F728" s="18"/>
      <x:c r="G728" s="18" t="n">
        <x:v>-114</x:v>
      </x:c>
      <x:c r="H728" s="18" t="n">
        <x:f>H727+G728</x:f>
        <x:v>8980428.900000015</x:v>
      </x:c>
    </x:row>
    <x:row r="729">
      <x:c r="A729" s="20" t="n">
        <x:v>46178</x:v>
      </x:c>
      <x:c r="B729" s="21" t="str">
        <x:v>DP-2026-027762</x:v>
      </x:c>
      <x:c r="C729" s="21" t="str">
        <x:v>ACH PAYMENT - Collins-Johnson - DP-2026-027762</x:v>
      </x:c>
      <x:c r="D729" s="21" t="str">
        <x:v>Supplier payment</x:v>
      </x:c>
      <x:c r="E729" s="18" t="n">
        <x:v>511.05</x:v>
      </x:c>
      <x:c r="F729" s="18"/>
      <x:c r="G729" s="18" t="n">
        <x:v>-511.05</x:v>
      </x:c>
      <x:c r="H729" s="18" t="n">
        <x:f>H728+G729</x:f>
        <x:v>8979917.850000015</x:v>
      </x:c>
    </x:row>
    <x:row r="730">
      <x:c r="A730" s="20" t="n">
        <x:v>46178</x:v>
      </x:c>
      <x:c r="B730" s="21" t="str">
        <x:v>DP-2026-027767</x:v>
      </x:c>
      <x:c r="C730" s="21" t="str">
        <x:v>ACH PAYMENT - Murphy, Williams and Sanders - DP-2026-027767</x:v>
      </x:c>
      <x:c r="D730" s="21" t="str">
        <x:v>Supplier payment</x:v>
      </x:c>
      <x:c r="E730" s="18" t="n">
        <x:v>13900.37</x:v>
      </x:c>
      <x:c r="F730" s="18"/>
      <x:c r="G730" s="18" t="n">
        <x:v>-13900.37</x:v>
      </x:c>
      <x:c r="H730" s="18" t="n">
        <x:f>H729+G730</x:f>
        <x:v>8966017.480000015</x:v>
      </x:c>
    </x:row>
    <x:row r="731">
      <x:c r="A731" s="20" t="n">
        <x:v>46178</x:v>
      </x:c>
      <x:c r="B731" s="21" t="str">
        <x:v>DP-2026-027777</x:v>
      </x:c>
      <x:c r="C731" s="21" t="str">
        <x:v>ACH PAYMENT - Keith PLC - DP-2026-027777</x:v>
      </x:c>
      <x:c r="D731" s="21" t="str">
        <x:v>Supplier payment</x:v>
      </x:c>
      <x:c r="E731" s="18" t="n">
        <x:v>361.51</x:v>
      </x:c>
      <x:c r="F731" s="18"/>
      <x:c r="G731" s="18" t="n">
        <x:v>-361.51</x:v>
      </x:c>
      <x:c r="H731" s="18" t="n">
        <x:f>H730+G731</x:f>
        <x:v>8965655.970000016</x:v>
      </x:c>
    </x:row>
    <x:row r="732">
      <x:c r="A732" s="20" t="n">
        <x:v>46178</x:v>
      </x:c>
      <x:c r="B732" s="21" t="str">
        <x:v>DP-2026-027783</x:v>
      </x:c>
      <x:c r="C732" s="21" t="str">
        <x:v>WIRE TRANSFER PAYMENT - Chambers PLC - DP-2026-027783</x:v>
      </x:c>
      <x:c r="D732" s="21" t="str">
        <x:v>Supplier payment</x:v>
      </x:c>
      <x:c r="E732" s="18" t="n">
        <x:v>39.01</x:v>
      </x:c>
      <x:c r="F732" s="18"/>
      <x:c r="G732" s="18" t="n">
        <x:v>-39.01</x:v>
      </x:c>
      <x:c r="H732" s="18" t="n">
        <x:f>H731+G732</x:f>
        <x:v>8965616.960000016</x:v>
      </x:c>
    </x:row>
    <x:row r="733">
      <x:c r="A733" s="20" t="n">
        <x:v>46178</x:v>
      </x:c>
      <x:c r="B733" s="21" t="str">
        <x:v>DP-2026-027786</x:v>
      </x:c>
      <x:c r="C733" s="21" t="str">
        <x:v>ACH PAYMENT - Rodriguez, Goodman and Lee - DP-2026-027786</x:v>
      </x:c>
      <x:c r="D733" s="21" t="str">
        <x:v>Supplier payment</x:v>
      </x:c>
      <x:c r="E733" s="18" t="n">
        <x:v>954.82</x:v>
      </x:c>
      <x:c r="F733" s="18"/>
      <x:c r="G733" s="18" t="n">
        <x:v>-954.82</x:v>
      </x:c>
      <x:c r="H733" s="18" t="n">
        <x:f>H732+G733</x:f>
        <x:v>8964662.140000015</x:v>
      </x:c>
    </x:row>
    <x:row r="734">
      <x:c r="A734" s="20" t="n">
        <x:v>46178</x:v>
      </x:c>
      <x:c r="B734" s="21" t="str">
        <x:v>DP-2026-027788</x:v>
      </x:c>
      <x:c r="C734" s="21" t="str">
        <x:v>ACH PAYMENT - Evans PLC - DP-2026-027788</x:v>
      </x:c>
      <x:c r="D734" s="21" t="str">
        <x:v>Supplier payment</x:v>
      </x:c>
      <x:c r="E734" s="18" t="n">
        <x:v>240.86</x:v>
      </x:c>
      <x:c r="F734" s="18"/>
      <x:c r="G734" s="18" t="n">
        <x:v>-240.86</x:v>
      </x:c>
      <x:c r="H734" s="18" t="n">
        <x:f>H733+G734</x:f>
        <x:v>8964421.280000016</x:v>
      </x:c>
    </x:row>
    <x:row r="735">
      <x:c r="A735" s="20" t="n">
        <x:v>46178</x:v>
      </x:c>
      <x:c r="B735" s="21" t="str">
        <x:v>DP-2026-027807</x:v>
      </x:c>
      <x:c r="C735" s="21" t="str">
        <x:v>ACH PAYMENT - Peters, Terry and Zimmerman - DP-2026-027807</x:v>
      </x:c>
      <x:c r="D735" s="21" t="str">
        <x:v>Supplier payment</x:v>
      </x:c>
      <x:c r="E735" s="18" t="n">
        <x:v>454.46</x:v>
      </x:c>
      <x:c r="F735" s="18"/>
      <x:c r="G735" s="18" t="n">
        <x:v>-454.46</x:v>
      </x:c>
      <x:c r="H735" s="18" t="n">
        <x:f>H734+G735</x:f>
        <x:v>8963966.820000015</x:v>
      </x:c>
    </x:row>
    <x:row r="736">
      <x:c r="A736" s="20" t="n">
        <x:v>46178</x:v>
      </x:c>
      <x:c r="B736" s="21" t="str">
        <x:v>DP-2026-027808</x:v>
      </x:c>
      <x:c r="C736" s="21" t="str">
        <x:v>WIRE TRANSFER PAYMENT - Morris-Taylor - DP-2026-027808</x:v>
      </x:c>
      <x:c r="D736" s="21" t="str">
        <x:v>Supplier payment</x:v>
      </x:c>
      <x:c r="E736" s="18" t="n">
        <x:v>653.21</x:v>
      </x:c>
      <x:c r="F736" s="18"/>
      <x:c r="G736" s="18" t="n">
        <x:v>-653.21</x:v>
      </x:c>
      <x:c r="H736" s="18" t="n">
        <x:f>H735+G736</x:f>
        <x:v>8963313.610000014</x:v>
      </x:c>
    </x:row>
    <x:row r="737">
      <x:c r="A737" s="20" t="n">
        <x:v>46178</x:v>
      </x:c>
      <x:c r="B737" s="21" t="str">
        <x:v>DP-2026-027813</x:v>
      </x:c>
      <x:c r="C737" s="21" t="str">
        <x:v>ACH PAYMENT - Evans PLC - DP-2026-027813</x:v>
      </x:c>
      <x:c r="D737" s="21" t="str">
        <x:v>Supplier payment</x:v>
      </x:c>
      <x:c r="E737" s="18" t="n">
        <x:v>1023.99</x:v>
      </x:c>
      <x:c r="F737" s="18"/>
      <x:c r="G737" s="18" t="n">
        <x:v>-1023.99</x:v>
      </x:c>
      <x:c r="H737" s="18" t="n">
        <x:f>H736+G737</x:f>
        <x:v>8962289.620000014</x:v>
      </x:c>
    </x:row>
    <x:row r="738">
      <x:c r="A738" s="20" t="n">
        <x:v>46178</x:v>
      </x:c>
      <x:c r="B738" s="21" t="str">
        <x:v>DP-2026-027818</x:v>
      </x:c>
      <x:c r="C738" s="21" t="str">
        <x:v>ACH PAYMENT - Velasquez-Baxter - DP-2026-027818</x:v>
      </x:c>
      <x:c r="D738" s="21" t="str">
        <x:v>Supplier payment</x:v>
      </x:c>
      <x:c r="E738" s="18" t="n">
        <x:v>72.71</x:v>
      </x:c>
      <x:c r="F738" s="18"/>
      <x:c r="G738" s="18" t="n">
        <x:v>-72.71</x:v>
      </x:c>
      <x:c r="H738" s="18" t="n">
        <x:f>H737+G738</x:f>
        <x:v>8962216.910000013</x:v>
      </x:c>
    </x:row>
    <x:row r="739">
      <x:c r="A739" s="20" t="n">
        <x:v>46178</x:v>
      </x:c>
      <x:c r="B739" s="21" t="str">
        <x:v>DP-2026-027823</x:v>
      </x:c>
      <x:c r="C739" s="21" t="str">
        <x:v>ACH PAYMENT - Hester Ltd - DP-2026-027823</x:v>
      </x:c>
      <x:c r="D739" s="21" t="str">
        <x:v>Supplier payment</x:v>
      </x:c>
      <x:c r="E739" s="18" t="n">
        <x:v>200.46</x:v>
      </x:c>
      <x:c r="F739" s="18"/>
      <x:c r="G739" s="18" t="n">
        <x:v>-200.46</x:v>
      </x:c>
      <x:c r="H739" s="18" t="n">
        <x:f>H738+G739</x:f>
        <x:v>8962016.450000012</x:v>
      </x:c>
    </x:row>
    <x:row r="740">
      <x:c r="A740" s="20" t="n">
        <x:v>46178</x:v>
      </x:c>
      <x:c r="B740" s="21" t="str">
        <x:v>DP-2026-027825</x:v>
      </x:c>
      <x:c r="C740" s="21" t="str">
        <x:v>WIRE TRANSFER PAYMENT - Garcia Group - DP-2026-027825</x:v>
      </x:c>
      <x:c r="D740" s="21" t="str">
        <x:v>Supplier payment</x:v>
      </x:c>
      <x:c r="E740" s="18" t="n">
        <x:v>152.97</x:v>
      </x:c>
      <x:c r="F740" s="18"/>
      <x:c r="G740" s="18" t="n">
        <x:v>-152.97</x:v>
      </x:c>
      <x:c r="H740" s="18" t="n">
        <x:f>H739+G740</x:f>
        <x:v>8961863.480000012</x:v>
      </x:c>
    </x:row>
    <x:row r="741">
      <x:c r="A741" s="20" t="n">
        <x:v>46178</x:v>
      </x:c>
      <x:c r="B741" s="21" t="str">
        <x:v>DP-2026-027826</x:v>
      </x:c>
      <x:c r="C741" s="21" t="str">
        <x:v>WIRE TRANSFER PAYMENT - Hoffman LLC - DP-2026-027826</x:v>
      </x:c>
      <x:c r="D741" s="21" t="str">
        <x:v>Supplier payment</x:v>
      </x:c>
      <x:c r="E741" s="18" t="n">
        <x:v>643.52</x:v>
      </x:c>
      <x:c r="F741" s="18"/>
      <x:c r="G741" s="18" t="n">
        <x:v>-643.52</x:v>
      </x:c>
      <x:c r="H741" s="18" t="n">
        <x:f>H740+G741</x:f>
        <x:v>8961219.960000012</x:v>
      </x:c>
    </x:row>
    <x:row r="742">
      <x:c r="A742" s="20" t="n">
        <x:v>46178</x:v>
      </x:c>
      <x:c r="B742" s="21" t="str">
        <x:v>DP-2026-027833</x:v>
      </x:c>
      <x:c r="C742" s="21" t="str">
        <x:v>WIRE TRANSFER PAYMENT - Garcia Group - DP-2026-027833</x:v>
      </x:c>
      <x:c r="D742" s="21" t="str">
        <x:v>Supplier payment</x:v>
      </x:c>
      <x:c r="E742" s="18" t="n">
        <x:v>2440.77</x:v>
      </x:c>
      <x:c r="F742" s="18"/>
      <x:c r="G742" s="18" t="n">
        <x:v>-2440.77</x:v>
      </x:c>
      <x:c r="H742" s="18" t="n">
        <x:f>H741+G742</x:f>
        <x:v>8958779.190000013</x:v>
      </x:c>
    </x:row>
    <x:row r="743">
      <x:c r="A743" s="20" t="n">
        <x:v>46178</x:v>
      </x:c>
      <x:c r="B743" s="21" t="str">
        <x:v>DP-2026-027835</x:v>
      </x:c>
      <x:c r="C743" s="21" t="str">
        <x:v>ACH PAYMENT - Berger, Stanley and Cooper - DP-2026-027835</x:v>
      </x:c>
      <x:c r="D743" s="21" t="str">
        <x:v>Supplier payment</x:v>
      </x:c>
      <x:c r="E743" s="18" t="n">
        <x:v>731.8</x:v>
      </x:c>
      <x:c r="F743" s="18"/>
      <x:c r="G743" s="18" t="n">
        <x:v>-731.8</x:v>
      </x:c>
      <x:c r="H743" s="18" t="n">
        <x:f>H742+G743</x:f>
        <x:v>8958047.390000012</x:v>
      </x:c>
    </x:row>
    <x:row r="744">
      <x:c r="A744" s="20" t="n">
        <x:v>46178</x:v>
      </x:c>
      <x:c r="B744" s="21" t="str">
        <x:v>DP-2026-027837</x:v>
      </x:c>
      <x:c r="C744" s="21" t="str">
        <x:v>WIRE TRANSFER PAYMENT - Munoz, Garcia and Olsen - DP-2026-027837</x:v>
      </x:c>
      <x:c r="D744" s="21" t="str">
        <x:v>Supplier payment</x:v>
      </x:c>
      <x:c r="E744" s="18" t="n">
        <x:v>507.1</x:v>
      </x:c>
      <x:c r="F744" s="18"/>
      <x:c r="G744" s="18" t="n">
        <x:v>-507.1</x:v>
      </x:c>
      <x:c r="H744" s="18" t="n">
        <x:f>H743+G744</x:f>
        <x:v>8957540.290000012</x:v>
      </x:c>
    </x:row>
    <x:row r="745">
      <x:c r="A745" s="20" t="n">
        <x:v>46178</x:v>
      </x:c>
      <x:c r="B745" s="21" t="str">
        <x:v>DP-2026-027843</x:v>
      </x:c>
      <x:c r="C745" s="21" t="str">
        <x:v>ACH PAYMENT - Garcia Group - DP-2026-027843</x:v>
      </x:c>
      <x:c r="D745" s="21" t="str">
        <x:v>Supplier payment</x:v>
      </x:c>
      <x:c r="E745" s="18" t="n">
        <x:v>176.57</x:v>
      </x:c>
      <x:c r="F745" s="18"/>
      <x:c r="G745" s="18" t="n">
        <x:v>-176.57</x:v>
      </x:c>
      <x:c r="H745" s="18" t="n">
        <x:f>H744+G745</x:f>
        <x:v>8957363.720000012</x:v>
      </x:c>
    </x:row>
    <x:row r="746">
      <x:c r="A746" s="20" t="n">
        <x:v>46178</x:v>
      </x:c>
      <x:c r="B746" s="21" t="str">
        <x:v>DP-2026-027846</x:v>
      </x:c>
      <x:c r="C746" s="21" t="str">
        <x:v>ACH PAYMENT - Donaldson LLC - DP-2026-027846</x:v>
      </x:c>
      <x:c r="D746" s="21" t="str">
        <x:v>Supplier payment</x:v>
      </x:c>
      <x:c r="E746" s="18" t="n">
        <x:v>1006.86</x:v>
      </x:c>
      <x:c r="F746" s="18"/>
      <x:c r="G746" s="18" t="n">
        <x:v>-1006.86</x:v>
      </x:c>
      <x:c r="H746" s="18" t="n">
        <x:f>H745+G746</x:f>
        <x:v>8956356.860000012</x:v>
      </x:c>
    </x:row>
    <x:row r="747">
      <x:c r="A747" s="20" t="n">
        <x:v>46178</x:v>
      </x:c>
      <x:c r="B747" s="21" t="str">
        <x:v>DP-2026-027848</x:v>
      </x:c>
      <x:c r="C747" s="21" t="str">
        <x:v>ACH PAYMENT - Brooks, Johnson and Olson - DP-2026-027848</x:v>
      </x:c>
      <x:c r="D747" s="21" t="str">
        <x:v>Supplier payment</x:v>
      </x:c>
      <x:c r="E747" s="18" t="n">
        <x:v>797.4</x:v>
      </x:c>
      <x:c r="F747" s="18"/>
      <x:c r="G747" s="18" t="n">
        <x:v>-797.4</x:v>
      </x:c>
      <x:c r="H747" s="18" t="n">
        <x:f>H746+G747</x:f>
        <x:v>8955559.460000012</x:v>
      </x:c>
    </x:row>
    <x:row r="748">
      <x:c r="A748" s="20" t="n">
        <x:v>46178</x:v>
      </x:c>
      <x:c r="B748" s="21" t="str">
        <x:v>DP-2026-027850</x:v>
      </x:c>
      <x:c r="C748" s="21" t="str">
        <x:v>ACH PAYMENT - Bell, Pruitt and David - DP-2026-027850</x:v>
      </x:c>
      <x:c r="D748" s="21" t="str">
        <x:v>Supplier payment</x:v>
      </x:c>
      <x:c r="E748" s="18" t="n">
        <x:v>242.11</x:v>
      </x:c>
      <x:c r="F748" s="18"/>
      <x:c r="G748" s="18" t="n">
        <x:v>-242.11</x:v>
      </x:c>
      <x:c r="H748" s="18" t="n">
        <x:f>H747+G748</x:f>
        <x:v>8955317.350000013</x:v>
      </x:c>
    </x:row>
    <x:row r="749">
      <x:c r="A749" s="20" t="n">
        <x:v>46178</x:v>
      </x:c>
      <x:c r="B749" s="21" t="str">
        <x:v>DP-2026-027856</x:v>
      </x:c>
      <x:c r="C749" s="21" t="str">
        <x:v>ACH PAYMENT - Gomez PLC - DP-2026-027856</x:v>
      </x:c>
      <x:c r="D749" s="21" t="str">
        <x:v>Supplier payment</x:v>
      </x:c>
      <x:c r="E749" s="18" t="n">
        <x:v>7777.56</x:v>
      </x:c>
      <x:c r="F749" s="18"/>
      <x:c r="G749" s="18" t="n">
        <x:v>-7777.56</x:v>
      </x:c>
      <x:c r="H749" s="18" t="n">
        <x:f>H748+G749</x:f>
        <x:v>8947539.790000012</x:v>
      </x:c>
    </x:row>
    <x:row r="750">
      <x:c r="A750" s="20" t="n">
        <x:v>46178</x:v>
      </x:c>
      <x:c r="B750" s="21" t="str">
        <x:v>DP-2026-027861</x:v>
      </x:c>
      <x:c r="C750" s="21" t="str">
        <x:v>ACH PAYMENT - Powell Inc - DP-2026-027861</x:v>
      </x:c>
      <x:c r="D750" s="21" t="str">
        <x:v>Supplier payment</x:v>
      </x:c>
      <x:c r="E750" s="18" t="n">
        <x:v>794.66</x:v>
      </x:c>
      <x:c r="F750" s="18"/>
      <x:c r="G750" s="18" t="n">
        <x:v>-794.66</x:v>
      </x:c>
      <x:c r="H750" s="18" t="n">
        <x:f>H749+G750</x:f>
        <x:v>8946745.130000012</x:v>
      </x:c>
    </x:row>
    <x:row r="751">
      <x:c r="A751" s="20" t="n">
        <x:v>46178</x:v>
      </x:c>
      <x:c r="B751" s="21" t="str">
        <x:v>DP-2026-027864</x:v>
      </x:c>
      <x:c r="C751" s="21" t="str">
        <x:v>ACH PAYMENT - Brooks, Johnson and Olson - DP-2026-027864</x:v>
      </x:c>
      <x:c r="D751" s="21" t="str">
        <x:v>Supplier payment</x:v>
      </x:c>
      <x:c r="E751" s="18" t="n">
        <x:v>500.5</x:v>
      </x:c>
      <x:c r="F751" s="18"/>
      <x:c r="G751" s="18" t="n">
        <x:v>-500.5</x:v>
      </x:c>
      <x:c r="H751" s="18" t="n">
        <x:f>H750+G751</x:f>
        <x:v>8946244.630000012</x:v>
      </x:c>
    </x:row>
    <x:row r="752">
      <x:c r="A752" s="20" t="n">
        <x:v>46178</x:v>
      </x:c>
      <x:c r="B752" s="21" t="str">
        <x:v>DP-2026-027881</x:v>
      </x:c>
      <x:c r="C752" s="21" t="str">
        <x:v>ACH PAYMENT - Hester Ltd - DP-2026-027881</x:v>
      </x:c>
      <x:c r="D752" s="21" t="str">
        <x:v>Supplier payment</x:v>
      </x:c>
      <x:c r="E752" s="18" t="n">
        <x:v>477.72</x:v>
      </x:c>
      <x:c r="F752" s="18"/>
      <x:c r="G752" s="18" t="n">
        <x:v>-477.72</x:v>
      </x:c>
      <x:c r="H752" s="18" t="n">
        <x:f>H751+G752</x:f>
        <x:v>8945766.910000011</x:v>
      </x:c>
    </x:row>
    <x:row r="753">
      <x:c r="A753" s="20" t="n">
        <x:v>46178</x:v>
      </x:c>
      <x:c r="B753" s="21" t="str">
        <x:v>DP-2026-027891</x:v>
      </x:c>
      <x:c r="C753" s="21" t="str">
        <x:v>WIRE TRANSFER PAYMENT - Velasquez-Baxter - DP-2026-027891</x:v>
      </x:c>
      <x:c r="D753" s="21" t="str">
        <x:v>Supplier payment</x:v>
      </x:c>
      <x:c r="E753" s="18" t="n">
        <x:v>3074.2</x:v>
      </x:c>
      <x:c r="F753" s="18"/>
      <x:c r="G753" s="18" t="n">
        <x:v>-3074.2</x:v>
      </x:c>
      <x:c r="H753" s="18" t="n">
        <x:f>H752+G753</x:f>
        <x:v>8942692.710000012</x:v>
      </x:c>
    </x:row>
    <x:row r="754">
      <x:c r="A754" s="20" t="n">
        <x:v>46178</x:v>
      </x:c>
      <x:c r="B754" s="21" t="str">
        <x:v>DP-2026-027905</x:v>
      </x:c>
      <x:c r="C754" s="21" t="str">
        <x:v>ACH PAYMENT - Smith-Ray - DP-2026-027905</x:v>
      </x:c>
      <x:c r="D754" s="21" t="str">
        <x:v>Supplier payment</x:v>
      </x:c>
      <x:c r="E754" s="18" t="n">
        <x:v>58.36</x:v>
      </x:c>
      <x:c r="F754" s="18"/>
      <x:c r="G754" s="18" t="n">
        <x:v>-58.36</x:v>
      </x:c>
      <x:c r="H754" s="18" t="n">
        <x:f>H753+G754</x:f>
        <x:v>8942634.350000013</x:v>
      </x:c>
    </x:row>
    <x:row r="755">
      <x:c r="A755" s="20" t="n">
        <x:v>46178</x:v>
      </x:c>
      <x:c r="B755" s="21" t="str">
        <x:v>DP-2026-027922</x:v>
      </x:c>
      <x:c r="C755" s="21" t="str">
        <x:v>ACH PAYMENT - Simmons, Tucker and Huang - DP-2026-027922</x:v>
      </x:c>
      <x:c r="D755" s="21" t="str">
        <x:v>Supplier payment</x:v>
      </x:c>
      <x:c r="E755" s="18" t="n">
        <x:v>522.19</x:v>
      </x:c>
      <x:c r="F755" s="18"/>
      <x:c r="G755" s="18" t="n">
        <x:v>-522.19</x:v>
      </x:c>
      <x:c r="H755" s="18" t="n">
        <x:f>H754+G755</x:f>
        <x:v>8942112.160000013</x:v>
      </x:c>
    </x:row>
    <x:row r="756">
      <x:c r="A756" s="20" t="n">
        <x:v>46178</x:v>
      </x:c>
      <x:c r="B756" s="21" t="str">
        <x:v>DP-2026-027923</x:v>
      </x:c>
      <x:c r="C756" s="21" t="str">
        <x:v>ACH PAYMENT - Duncan-Dawson - DP-2026-027923</x:v>
      </x:c>
      <x:c r="D756" s="21" t="str">
        <x:v>Supplier payment</x:v>
      </x:c>
      <x:c r="E756" s="18" t="n">
        <x:v>1912.79</x:v>
      </x:c>
      <x:c r="F756" s="18"/>
      <x:c r="G756" s="18" t="n">
        <x:v>-1912.79</x:v>
      </x:c>
      <x:c r="H756" s="18" t="n">
        <x:f>H755+G756</x:f>
        <x:v>8940199.370000014</x:v>
      </x:c>
    </x:row>
    <x:row r="757">
      <x:c r="A757" s="20" t="n">
        <x:v>46178</x:v>
      </x:c>
      <x:c r="B757" s="21" t="str">
        <x:v>DP-2026-027932</x:v>
      </x:c>
      <x:c r="C757" s="21" t="str">
        <x:v>ACH PAYMENT - Watts-Strickland - DP-2026-027932</x:v>
      </x:c>
      <x:c r="D757" s="21" t="str">
        <x:v>Supplier payment</x:v>
      </x:c>
      <x:c r="E757" s="18" t="n">
        <x:v>254.94</x:v>
      </x:c>
      <x:c r="F757" s="18"/>
      <x:c r="G757" s="18" t="n">
        <x:v>-254.94</x:v>
      </x:c>
      <x:c r="H757" s="18" t="n">
        <x:f>H756+G757</x:f>
        <x:v>8939944.430000015</x:v>
      </x:c>
    </x:row>
    <x:row r="758">
      <x:c r="A758" s="20" t="n">
        <x:v>46178</x:v>
      </x:c>
      <x:c r="B758" s="21" t="str">
        <x:v>DP-2026-027936</x:v>
      </x:c>
      <x:c r="C758" s="21" t="str">
        <x:v>ACH PAYMENT - Berger, Stanley and Cooper - DP-2026-027936</x:v>
      </x:c>
      <x:c r="D758" s="21" t="str">
        <x:v>Supplier payment</x:v>
      </x:c>
      <x:c r="E758" s="18" t="n">
        <x:v>905.96</x:v>
      </x:c>
      <x:c r="F758" s="18"/>
      <x:c r="G758" s="18" t="n">
        <x:v>-905.96</x:v>
      </x:c>
      <x:c r="H758" s="18" t="n">
        <x:f>H757+G758</x:f>
        <x:v>8939038.470000014</x:v>
      </x:c>
    </x:row>
    <x:row r="759">
      <x:c r="A759" s="20" t="n">
        <x:v>46178</x:v>
      </x:c>
      <x:c r="B759" s="21" t="str">
        <x:v>DP-2026-027939</x:v>
      </x:c>
      <x:c r="C759" s="21" t="str">
        <x:v>ACH PAYMENT - Collins-Johnson - DP-2026-027939</x:v>
      </x:c>
      <x:c r="D759" s="21" t="str">
        <x:v>Supplier payment</x:v>
      </x:c>
      <x:c r="E759" s="18" t="n">
        <x:v>83.76</x:v>
      </x:c>
      <x:c r="F759" s="18"/>
      <x:c r="G759" s="18" t="n">
        <x:v>-83.76</x:v>
      </x:c>
      <x:c r="H759" s="18" t="n">
        <x:f>H758+G759</x:f>
        <x:v>8938954.710000014</x:v>
      </x:c>
    </x:row>
    <x:row r="760">
      <x:c r="A760" s="20" t="n">
        <x:v>46178</x:v>
      </x:c>
      <x:c r="B760" s="21" t="str">
        <x:v>DP-2026-027941</x:v>
      </x:c>
      <x:c r="C760" s="21" t="str">
        <x:v>ACH PAYMENT - Lindsey and Sons - DP-2026-027941</x:v>
      </x:c>
      <x:c r="D760" s="21" t="str">
        <x:v>Supplier payment</x:v>
      </x:c>
      <x:c r="E760" s="18" t="n">
        <x:v>570.17</x:v>
      </x:c>
      <x:c r="F760" s="18"/>
      <x:c r="G760" s="18" t="n">
        <x:v>-570.17</x:v>
      </x:c>
      <x:c r="H760" s="18" t="n">
        <x:f>H759+G760</x:f>
        <x:v>8938384.540000014</x:v>
      </x:c>
    </x:row>
    <x:row r="761">
      <x:c r="A761" s="20" t="n">
        <x:v>46178</x:v>
      </x:c>
      <x:c r="B761" s="21" t="str">
        <x:v>DP-2026-027951</x:v>
      </x:c>
      <x:c r="C761" s="21" t="str">
        <x:v>ACH PAYMENT - Hoffman LLC - DP-2026-027951</x:v>
      </x:c>
      <x:c r="D761" s="21" t="str">
        <x:v>Supplier payment</x:v>
      </x:c>
      <x:c r="E761" s="18" t="n">
        <x:v>848.39</x:v>
      </x:c>
      <x:c r="F761" s="18"/>
      <x:c r="G761" s="18" t="n">
        <x:v>-848.39</x:v>
      </x:c>
      <x:c r="H761" s="18" t="n">
        <x:f>H760+G761</x:f>
        <x:v>8937536.150000013</x:v>
      </x:c>
    </x:row>
    <x:row r="762">
      <x:c r="A762" s="20" t="n">
        <x:v>46178</x:v>
      </x:c>
      <x:c r="B762" s="21" t="str">
        <x:v>DP-2026-027956</x:v>
      </x:c>
      <x:c r="C762" s="21" t="str">
        <x:v>ACH PAYMENT - Berger, Stanley and Cooper - DP-2026-027956</x:v>
      </x:c>
      <x:c r="D762" s="21" t="str">
        <x:v>Supplier payment</x:v>
      </x:c>
      <x:c r="E762" s="18" t="n">
        <x:v>802.37</x:v>
      </x:c>
      <x:c r="F762" s="18"/>
      <x:c r="G762" s="18" t="n">
        <x:v>-802.37</x:v>
      </x:c>
      <x:c r="H762" s="18" t="n">
        <x:f>H761+G762</x:f>
        <x:v>8936733.780000014</x:v>
      </x:c>
    </x:row>
    <x:row r="763">
      <x:c r="A763" s="20" t="n">
        <x:v>46178</x:v>
      </x:c>
      <x:c r="B763" s="21" t="str">
        <x:v>DP-2026-027961</x:v>
      </x:c>
      <x:c r="C763" s="21" t="str">
        <x:v>ACH PAYMENT - Kelly-Bradshaw - DP-2026-027961</x:v>
      </x:c>
      <x:c r="D763" s="21" t="str">
        <x:v>Supplier payment</x:v>
      </x:c>
      <x:c r="E763" s="18" t="n">
        <x:v>297.78</x:v>
      </x:c>
      <x:c r="F763" s="18"/>
      <x:c r="G763" s="18" t="n">
        <x:v>-297.78</x:v>
      </x:c>
      <x:c r="H763" s="18" t="n">
        <x:f>H762+G763</x:f>
        <x:v>8936436.000000015</x:v>
      </x:c>
    </x:row>
    <x:row r="764">
      <x:c r="A764" s="20" t="n">
        <x:v>46178</x:v>
      </x:c>
      <x:c r="B764" s="21" t="str">
        <x:v>DP-2026-027966</x:v>
      </x:c>
      <x:c r="C764" s="21" t="str">
        <x:v>ACH PAYMENT - Brown-Owens - DP-2026-027966</x:v>
      </x:c>
      <x:c r="D764" s="21" t="str">
        <x:v>Supplier payment</x:v>
      </x:c>
      <x:c r="E764" s="18" t="n">
        <x:v>122.77</x:v>
      </x:c>
      <x:c r="F764" s="18"/>
      <x:c r="G764" s="18" t="n">
        <x:v>-122.77</x:v>
      </x:c>
      <x:c r="H764" s="18" t="n">
        <x:f>H763+G764</x:f>
        <x:v>8936313.230000015</x:v>
      </x:c>
    </x:row>
    <x:row r="765">
      <x:c r="A765" s="20" t="n">
        <x:v>46178</x:v>
      </x:c>
      <x:c r="B765" s="21" t="str">
        <x:v>DP-2026-027967</x:v>
      </x:c>
      <x:c r="C765" s="21" t="str">
        <x:v>ACH PAYMENT - Duran, Mccarthy and Myers - DP-2026-027967</x:v>
      </x:c>
      <x:c r="D765" s="21" t="str">
        <x:v>Supplier payment</x:v>
      </x:c>
      <x:c r="E765" s="18" t="n">
        <x:v>1178.98</x:v>
      </x:c>
      <x:c r="F765" s="18"/>
      <x:c r="G765" s="18" t="n">
        <x:v>-1178.98</x:v>
      </x:c>
      <x:c r="H765" s="18" t="n">
        <x:f>H764+G765</x:f>
        <x:v>8935134.250000015</x:v>
      </x:c>
    </x:row>
    <x:row r="766">
      <x:c r="A766" s="20" t="n">
        <x:v>46178</x:v>
      </x:c>
      <x:c r="B766" s="21" t="str">
        <x:v>DP-2026-027980</x:v>
      </x:c>
      <x:c r="C766" s="21" t="str">
        <x:v>WIRE TRANSFER PAYMENT - Hernandez, Melendez and Mcdowell - DP-2026-027980</x:v>
      </x:c>
      <x:c r="D766" s="21" t="str">
        <x:v>Supplier payment</x:v>
      </x:c>
      <x:c r="E766" s="18" t="n">
        <x:v>667.64</x:v>
      </x:c>
      <x:c r="F766" s="18"/>
      <x:c r="G766" s="18" t="n">
        <x:v>-667.64</x:v>
      </x:c>
      <x:c r="H766" s="18" t="n">
        <x:f>H765+G766</x:f>
        <x:v>8934466.610000014</x:v>
      </x:c>
    </x:row>
    <x:row r="767">
      <x:c r="A767" s="20" t="n">
        <x:v>46178</x:v>
      </x:c>
      <x:c r="B767" s="21" t="str">
        <x:v>DP-2026-027995</x:v>
      </x:c>
      <x:c r="C767" s="21" t="str">
        <x:v>ACH PAYMENT - Berger, Stanley and Cooper - DP-2026-027995</x:v>
      </x:c>
      <x:c r="D767" s="21" t="str">
        <x:v>Supplier payment</x:v>
      </x:c>
      <x:c r="E767" s="18" t="n">
        <x:v>30798.24</x:v>
      </x:c>
      <x:c r="F767" s="18"/>
      <x:c r="G767" s="18" t="n">
        <x:v>-30798.24</x:v>
      </x:c>
      <x:c r="H767" s="18" t="n">
        <x:f>H766+G767</x:f>
        <x:v>8903668.370000014</x:v>
      </x:c>
    </x:row>
    <x:row r="768">
      <x:c r="A768" s="20" t="n">
        <x:v>46178</x:v>
      </x:c>
      <x:c r="B768" s="21" t="str">
        <x:v>DP-2026-027998</x:v>
      </x:c>
      <x:c r="C768" s="21" t="str">
        <x:v>ACH PAYMENT - Fuller LLC - DP-2026-027998</x:v>
      </x:c>
      <x:c r="D768" s="21" t="str">
        <x:v>Supplier payment</x:v>
      </x:c>
      <x:c r="E768" s="18" t="n">
        <x:v>81.81</x:v>
      </x:c>
      <x:c r="F768" s="18"/>
      <x:c r="G768" s="18" t="n">
        <x:v>-81.81</x:v>
      </x:c>
      <x:c r="H768" s="18" t="n">
        <x:f>H767+G768</x:f>
        <x:v>8903586.560000014</x:v>
      </x:c>
    </x:row>
    <x:row r="769">
      <x:c r="A769" s="20" t="n">
        <x:v>46178</x:v>
      </x:c>
      <x:c r="B769" s="21" t="str">
        <x:v>DP-2026-028006</x:v>
      </x:c>
      <x:c r="C769" s="21" t="str">
        <x:v>ACH PAYMENT - Hernandez PLC - DP-2026-028006</x:v>
      </x:c>
      <x:c r="D769" s="21" t="str">
        <x:v>Supplier payment</x:v>
      </x:c>
      <x:c r="E769" s="18" t="n">
        <x:v>753.82</x:v>
      </x:c>
      <x:c r="F769" s="18"/>
      <x:c r="G769" s="18" t="n">
        <x:v>-753.82</x:v>
      </x:c>
      <x:c r="H769" s="18" t="n">
        <x:f>H768+G769</x:f>
        <x:v>8902832.740000013</x:v>
      </x:c>
    </x:row>
    <x:row r="770">
      <x:c r="A770" s="20" t="n">
        <x:v>46178</x:v>
      </x:c>
      <x:c r="B770" s="21" t="str">
        <x:v>DP-2026-028062</x:v>
      </x:c>
      <x:c r="C770" s="21" t="str">
        <x:v>ACH PAYMENT - Wright, Sanchez and Garza - DP-2026-028062</x:v>
      </x:c>
      <x:c r="D770" s="21" t="str">
        <x:v>Supplier payment</x:v>
      </x:c>
      <x:c r="E770" s="18" t="n">
        <x:v>878.44</x:v>
      </x:c>
      <x:c r="F770" s="18"/>
      <x:c r="G770" s="18" t="n">
        <x:v>-878.44</x:v>
      </x:c>
      <x:c r="H770" s="18" t="n">
        <x:f>H769+G770</x:f>
        <x:v>8901954.300000014</x:v>
      </x:c>
    </x:row>
    <x:row r="771">
      <x:c r="A771" s="20" t="n">
        <x:v>46178</x:v>
      </x:c>
      <x:c r="B771" s="21" t="str">
        <x:v>DP-2026-040067</x:v>
      </x:c>
      <x:c r="C771" s="21" t="str">
        <x:v>ACH PAYMENT - Bailey, Gutierrez and Cameron - DP-2026-040067</x:v>
      </x:c>
      <x:c r="D771" s="21" t="str">
        <x:v>Supplier payment</x:v>
      </x:c>
      <x:c r="E771" s="18" t="n">
        <x:v>4757.98</x:v>
      </x:c>
      <x:c r="F771" s="18"/>
      <x:c r="G771" s="18" t="n">
        <x:v>-4757.98</x:v>
      </x:c>
      <x:c r="H771" s="18" t="n">
        <x:f>H770+G771</x:f>
        <x:v>8897196.320000013</x:v>
      </x:c>
    </x:row>
    <x:row r="772">
      <x:c r="A772" s="20" t="n">
        <x:v>46179</x:v>
      </x:c>
      <x:c r="B772" s="21" t="str">
        <x:v>AR00005989</x:v>
      </x:c>
      <x:c r="C772" s="21" t="str">
        <x:v>CUSTOMER DEPOSIT - Miller, Wolf and Anderson - CR-2026-005989</x:v>
      </x:c>
      <x:c r="D772" s="21" t="str">
        <x:v>Customer deposit</x:v>
      </x:c>
      <x:c r="E772" s="18"/>
      <x:c r="F772" s="18" t="n">
        <x:v>949.77</x:v>
      </x:c>
      <x:c r="G772" s="18" t="n">
        <x:v>949.77</x:v>
      </x:c>
      <x:c r="H772" s="18" t="n">
        <x:f>H771+G772</x:f>
        <x:v>8898146.090000013</x:v>
      </x:c>
    </x:row>
    <x:row r="773">
      <x:c r="A773" s="20" t="n">
        <x:v>46179</x:v>
      </x:c>
      <x:c r="B773" s="21" t="str">
        <x:v>AR00006013</x:v>
      </x:c>
      <x:c r="C773" s="21" t="str">
        <x:v>CUSTOMER DEPOSIT - Rodriguez, Hernandez and Carpenter - CR-2026-006013</x:v>
      </x:c>
      <x:c r="D773" s="21" t="str">
        <x:v>Customer deposit</x:v>
      </x:c>
      <x:c r="E773" s="18"/>
      <x:c r="F773" s="18" t="n">
        <x:v>844.79</x:v>
      </x:c>
      <x:c r="G773" s="18" t="n">
        <x:v>844.79</x:v>
      </x:c>
      <x:c r="H773" s="18" t="n">
        <x:f>H772+G773</x:f>
        <x:v>8898990.880000012</x:v>
      </x:c>
    </x:row>
    <x:row r="774">
      <x:c r="A774" s="20" t="n">
        <x:v>46179</x:v>
      </x:c>
      <x:c r="B774" s="21" t="str">
        <x:v>AR00006063</x:v>
      </x:c>
      <x:c r="C774" s="21" t="str">
        <x:v>CUSTOMER DEPOSIT - Davis PLC - CR-2026-006063</x:v>
      </x:c>
      <x:c r="D774" s="21" t="str">
        <x:v>Customer deposit</x:v>
      </x:c>
      <x:c r="E774" s="18"/>
      <x:c r="F774" s="18" t="n">
        <x:v>157.67</x:v>
      </x:c>
      <x:c r="G774" s="18" t="n">
        <x:v>157.67</x:v>
      </x:c>
      <x:c r="H774" s="18" t="n">
        <x:f>H773+G774</x:f>
        <x:v>8899148.550000012</x:v>
      </x:c>
    </x:row>
    <x:row r="775">
      <x:c r="A775" s="20" t="n">
        <x:v>46179</x:v>
      </x:c>
      <x:c r="B775" s="21" t="str">
        <x:v>AR00006068</x:v>
      </x:c>
      <x:c r="C775" s="21" t="str">
        <x:v>CUSTOMER DEPOSIT - Santos-Salazar - CR-2026-006068</x:v>
      </x:c>
      <x:c r="D775" s="21" t="str">
        <x:v>Customer deposit</x:v>
      </x:c>
      <x:c r="E775" s="18"/>
      <x:c r="F775" s="18" t="n">
        <x:v>768.13</x:v>
      </x:c>
      <x:c r="G775" s="18" t="n">
        <x:v>768.13</x:v>
      </x:c>
      <x:c r="H775" s="18" t="n">
        <x:f>H774+G775</x:f>
        <x:v>8899916.680000013</x:v>
      </x:c>
    </x:row>
    <x:row r="776">
      <x:c r="A776" s="20" t="n">
        <x:v>46179</x:v>
      </x:c>
      <x:c r="B776" s="21" t="str">
        <x:v>AR00006077</x:v>
      </x:c>
      <x:c r="C776" s="21" t="str">
        <x:v>CUSTOMER DEPOSIT - Ball-Dickerson - CR-2026-006077</x:v>
      </x:c>
      <x:c r="D776" s="21" t="str">
        <x:v>Customer deposit</x:v>
      </x:c>
      <x:c r="E776" s="18"/>
      <x:c r="F776" s="18" t="n">
        <x:v>168.2</x:v>
      </x:c>
      <x:c r="G776" s="18" t="n">
        <x:v>168.2</x:v>
      </x:c>
      <x:c r="H776" s="18" t="n">
        <x:f>H775+G776</x:f>
        <x:v>8900084.880000012</x:v>
      </x:c>
    </x:row>
    <x:row r="777">
      <x:c r="A777" s="20" t="n">
        <x:v>46179</x:v>
      </x:c>
      <x:c r="B777" s="21" t="str">
        <x:v>CHK0025593</x:v>
      </x:c>
      <x:c r="C777" s="21" t="str">
        <x:v>CHECK PAYMENT - Morris-Taylor - DP-2026-025593</x:v>
      </x:c>
      <x:c r="D777" s="21" t="str">
        <x:v>Supplier payment</x:v>
      </x:c>
      <x:c r="E777" s="18" t="n">
        <x:v>1432.16</x:v>
      </x:c>
      <x:c r="F777" s="18"/>
      <x:c r="G777" s="18" t="n">
        <x:v>-1432.16</x:v>
      </x:c>
      <x:c r="H777" s="18" t="n">
        <x:f>H776+G777</x:f>
        <x:v>8898652.720000012</x:v>
      </x:c>
    </x:row>
    <x:row r="778">
      <x:c r="A778" s="20" t="n">
        <x:v>46179</x:v>
      </x:c>
      <x:c r="B778" s="21" t="str">
        <x:v>CHK0025594</x:v>
      </x:c>
      <x:c r="C778" s="21" t="str">
        <x:v>CHECK PAYMENT - Hester Ltd - DP-2026-025594</x:v>
      </x:c>
      <x:c r="D778" s="21" t="str">
        <x:v>Supplier payment</x:v>
      </x:c>
      <x:c r="E778" s="18" t="n">
        <x:v>48.74</x:v>
      </x:c>
      <x:c r="F778" s="18"/>
      <x:c r="G778" s="18" t="n">
        <x:v>-48.74</x:v>
      </x:c>
      <x:c r="H778" s="18" t="n">
        <x:f>H777+G778</x:f>
        <x:v>8898603.980000012</x:v>
      </x:c>
    </x:row>
    <x:row r="779">
      <x:c r="A779" s="20" t="n">
        <x:v>46179</x:v>
      </x:c>
      <x:c r="B779" s="21" t="str">
        <x:v>CHK0027107</x:v>
      </x:c>
      <x:c r="C779" s="21" t="str">
        <x:v>CHECK PAYMENT - Weeks Group - DP-2026-027107</x:v>
      </x:c>
      <x:c r="D779" s="21" t="str">
        <x:v>Supplier payment</x:v>
      </x:c>
      <x:c r="E779" s="18" t="n">
        <x:v>887.23</x:v>
      </x:c>
      <x:c r="F779" s="18"/>
      <x:c r="G779" s="18" t="n">
        <x:v>-887.23</x:v>
      </x:c>
      <x:c r="H779" s="18" t="n">
        <x:f>H778+G779</x:f>
        <x:v>8897716.750000011</x:v>
      </x:c>
    </x:row>
    <x:row r="780">
      <x:c r="A780" s="20" t="n">
        <x:v>46179</x:v>
      </x:c>
      <x:c r="B780" s="21" t="str">
        <x:v>CHK0027829</x:v>
      </x:c>
      <x:c r="C780" s="21" t="str">
        <x:v>CHECK PAYMENT - Clayton-Thompson - DP-2026-027829</x:v>
      </x:c>
      <x:c r="D780" s="21" t="str">
        <x:v>Supplier payment</x:v>
      </x:c>
      <x:c r="E780" s="18" t="n">
        <x:v>173.26</x:v>
      </x:c>
      <x:c r="F780" s="18"/>
      <x:c r="G780" s="18" t="n">
        <x:v>-173.26</x:v>
      </x:c>
      <x:c r="H780" s="18" t="n">
        <x:f>H779+G780</x:f>
        <x:v>8897543.490000011</x:v>
      </x:c>
    </x:row>
    <x:row r="781">
      <x:c r="A781" s="20" t="n">
        <x:v>46179</x:v>
      </x:c>
      <x:c r="B781" s="21" t="str">
        <x:v>CHK0027832</x:v>
      </x:c>
      <x:c r="C781" s="21" t="str">
        <x:v>CHECK PAYMENT - Fletcher Ltd - DP-2026-027832</x:v>
      </x:c>
      <x:c r="D781" s="21" t="str">
        <x:v>Supplier payment</x:v>
      </x:c>
      <x:c r="E781" s="18" t="n">
        <x:v>569.17</x:v>
      </x:c>
      <x:c r="F781" s="18"/>
      <x:c r="G781" s="18" t="n">
        <x:v>-569.17</x:v>
      </x:c>
      <x:c r="H781" s="18" t="n">
        <x:f>H780+G781</x:f>
        <x:v>8896974.320000011</x:v>
      </x:c>
    </x:row>
    <x:row r="782">
      <x:c r="A782" s="20" t="n">
        <x:v>46179</x:v>
      </x:c>
      <x:c r="B782" s="21" t="str">
        <x:v>CHK0027838</x:v>
      </x:c>
      <x:c r="C782" s="21" t="str">
        <x:v>CHECK PAYMENT - Collins-Johnson - DP-2026-027838</x:v>
      </x:c>
      <x:c r="D782" s="21" t="str">
        <x:v>Supplier payment</x:v>
      </x:c>
      <x:c r="E782" s="18" t="n">
        <x:v>1505.1</x:v>
      </x:c>
      <x:c r="F782" s="18"/>
      <x:c r="G782" s="18" t="n">
        <x:v>-1505.1</x:v>
      </x:c>
      <x:c r="H782" s="18" t="n">
        <x:f>H781+G782</x:f>
        <x:v>8895469.220000012</x:v>
      </x:c>
    </x:row>
    <x:row r="783">
      <x:c r="A783" s="20" t="n">
        <x:v>46179</x:v>
      </x:c>
      <x:c r="B783" s="21" t="str">
        <x:v>CHK0027840</x:v>
      </x:c>
      <x:c r="C783" s="21" t="str">
        <x:v>CHECK PAYMENT - Henderson, Bennett and Pena - DP-2026-027840</x:v>
      </x:c>
      <x:c r="D783" s="21" t="str">
        <x:v>Supplier payment</x:v>
      </x:c>
      <x:c r="E783" s="18" t="n">
        <x:v>1717.21</x:v>
      </x:c>
      <x:c r="F783" s="18"/>
      <x:c r="G783" s="18" t="n">
        <x:v>-1717.21</x:v>
      </x:c>
      <x:c r="H783" s="18" t="n">
        <x:f>H782+G783</x:f>
        <x:v>8893752.010000011</x:v>
      </x:c>
    </x:row>
    <x:row r="784">
      <x:c r="A784" s="20" t="n">
        <x:v>46179</x:v>
      </x:c>
      <x:c r="B784" s="21" t="str">
        <x:v>CHK0027854</x:v>
      </x:c>
      <x:c r="C784" s="21" t="str">
        <x:v>CHECK PAYMENT - Brooks, Johnson and Olson - DP-2026-027854</x:v>
      </x:c>
      <x:c r="D784" s="21" t="str">
        <x:v>Supplier payment</x:v>
      </x:c>
      <x:c r="E784" s="18" t="n">
        <x:v>1542.71</x:v>
      </x:c>
      <x:c r="F784" s="18"/>
      <x:c r="G784" s="18" t="n">
        <x:v>-1542.71</x:v>
      </x:c>
      <x:c r="H784" s="18" t="n">
        <x:f>H783+G784</x:f>
        <x:v>8892209.30000001</x:v>
      </x:c>
    </x:row>
    <x:row r="785">
      <x:c r="A785" s="20" t="n">
        <x:v>46179</x:v>
      </x:c>
      <x:c r="B785" s="21" t="str">
        <x:v>CHK0027883</x:v>
      </x:c>
      <x:c r="C785" s="21" t="str">
        <x:v>CHECK PAYMENT - Garcia Group - DP-2026-027883</x:v>
      </x:c>
      <x:c r="D785" s="21" t="str">
        <x:v>Supplier payment</x:v>
      </x:c>
      <x:c r="E785" s="18" t="n">
        <x:v>616.95</x:v>
      </x:c>
      <x:c r="F785" s="18"/>
      <x:c r="G785" s="18" t="n">
        <x:v>-616.95</x:v>
      </x:c>
      <x:c r="H785" s="18" t="n">
        <x:f>H784+G785</x:f>
        <x:v>8891592.35000001</x:v>
      </x:c>
    </x:row>
    <x:row r="786">
      <x:c r="A786" s="20" t="n">
        <x:v>46179</x:v>
      </x:c>
      <x:c r="B786" s="21" t="str">
        <x:v>CHK0027890</x:v>
      </x:c>
      <x:c r="C786" s="21" t="str">
        <x:v>CHECK PAYMENT - Pena, Clayton and Ward - DP-2026-027890</x:v>
      </x:c>
      <x:c r="D786" s="21" t="str">
        <x:v>Supplier payment</x:v>
      </x:c>
      <x:c r="E786" s="18" t="n">
        <x:v>87.15</x:v>
      </x:c>
      <x:c r="F786" s="18"/>
      <x:c r="G786" s="18" t="n">
        <x:v>-87.15</x:v>
      </x:c>
      <x:c r="H786" s="18" t="n">
        <x:f>H785+G786</x:f>
        <x:v>8891505.20000001</x:v>
      </x:c>
    </x:row>
    <x:row r="787">
      <x:c r="A787" s="20" t="n">
        <x:v>46179</x:v>
      </x:c>
      <x:c r="B787" s="21" t="str">
        <x:v>CHK0027904</x:v>
      </x:c>
      <x:c r="C787" s="21" t="str">
        <x:v>CHECK PAYMENT - Dennis PLC - DP-2026-027904</x:v>
      </x:c>
      <x:c r="D787" s="21" t="str">
        <x:v>Supplier payment</x:v>
      </x:c>
      <x:c r="E787" s="18" t="n">
        <x:v>116.07</x:v>
      </x:c>
      <x:c r="F787" s="18"/>
      <x:c r="G787" s="18" t="n">
        <x:v>-116.07</x:v>
      </x:c>
      <x:c r="H787" s="18" t="n">
        <x:f>H786+G787</x:f>
        <x:v>8891389.13000001</x:v>
      </x:c>
    </x:row>
    <x:row r="788">
      <x:c r="A788" s="20" t="n">
        <x:v>46179</x:v>
      </x:c>
      <x:c r="B788" s="21" t="str">
        <x:v>CHK0027965</x:v>
      </x:c>
      <x:c r="C788" s="21" t="str">
        <x:v>CHECK PAYMENT - Rodriguez, Myers and Grimes - DP-2026-027965</x:v>
      </x:c>
      <x:c r="D788" s="21" t="str">
        <x:v>Supplier payment</x:v>
      </x:c>
      <x:c r="E788" s="18" t="n">
        <x:v>205.58</x:v>
      </x:c>
      <x:c r="F788" s="18"/>
      <x:c r="G788" s="18" t="n">
        <x:v>-205.58</x:v>
      </x:c>
      <x:c r="H788" s="18" t="n">
        <x:f>H787+G788</x:f>
        <x:v>8891183.55000001</x:v>
      </x:c>
    </x:row>
    <x:row r="789">
      <x:c r="A789" s="20" t="n">
        <x:v>46179</x:v>
      </x:c>
      <x:c r="B789" s="21" t="str">
        <x:v>CHK0027986</x:v>
      </x:c>
      <x:c r="C789" s="21" t="str">
        <x:v>CHECK PAYMENT - Hernandez PLC - DP-2026-027986</x:v>
      </x:c>
      <x:c r="D789" s="21" t="str">
        <x:v>Supplier payment</x:v>
      </x:c>
      <x:c r="E789" s="18" t="n">
        <x:v>573.4</x:v>
      </x:c>
      <x:c r="F789" s="18"/>
      <x:c r="G789" s="18" t="n">
        <x:v>-573.4</x:v>
      </x:c>
      <x:c r="H789" s="18" t="n">
        <x:f>H788+G789</x:f>
        <x:v>8890610.15000001</x:v>
      </x:c>
    </x:row>
    <x:row r="790">
      <x:c r="A790" s="20" t="n">
        <x:v>46179</x:v>
      </x:c>
      <x:c r="B790" s="21" t="str">
        <x:v>CHK0028081</x:v>
      </x:c>
      <x:c r="C790" s="21" t="str">
        <x:v>CHECK PAYMENT - Keith PLC - DP-2026-028081</x:v>
      </x:c>
      <x:c r="D790" s="21" t="str">
        <x:v>Supplier payment</x:v>
      </x:c>
      <x:c r="E790" s="18" t="n">
        <x:v>6.66</x:v>
      </x:c>
      <x:c r="F790" s="18"/>
      <x:c r="G790" s="18" t="n">
        <x:v>-6.66</x:v>
      </x:c>
      <x:c r="H790" s="18" t="n">
        <x:f>H789+G790</x:f>
        <x:v>8890603.49000001</x:v>
      </x:c>
    </x:row>
    <x:row r="791">
      <x:c r="A791" s="20" t="n">
        <x:v>46179</x:v>
      </x:c>
      <x:c r="B791" s="21" t="str">
        <x:v>CHK0028107</x:v>
      </x:c>
      <x:c r="C791" s="21" t="str">
        <x:v>CHECK PAYMENT - Hoffman LLC - DP-2026-028107</x:v>
      </x:c>
      <x:c r="D791" s="21" t="str">
        <x:v>Supplier payment</x:v>
      </x:c>
      <x:c r="E791" s="18" t="n">
        <x:v>847.26</x:v>
      </x:c>
      <x:c r="F791" s="18"/>
      <x:c r="G791" s="18" t="n">
        <x:v>-847.26</x:v>
      </x:c>
      <x:c r="H791" s="18" t="n">
        <x:f>H790+G791</x:f>
        <x:v>8889756.23000001</x:v>
      </x:c>
    </x:row>
    <x:row r="792">
      <x:c r="A792" s="20" t="n">
        <x:v>46179</x:v>
      </x:c>
      <x:c r="B792" s="21" t="str">
        <x:v>CHK0028144</x:v>
      </x:c>
      <x:c r="C792" s="21" t="str">
        <x:v>CHECK PAYMENT - Arnold Ltd - DP-2026-028144</x:v>
      </x:c>
      <x:c r="D792" s="21" t="str">
        <x:v>Supplier payment</x:v>
      </x:c>
      <x:c r="E792" s="18" t="n">
        <x:v>1790.91</x:v>
      </x:c>
      <x:c r="F792" s="18"/>
      <x:c r="G792" s="18" t="n">
        <x:v>-1790.91</x:v>
      </x:c>
      <x:c r="H792" s="18" t="n">
        <x:f>H791+G792</x:f>
        <x:v>8887965.32000001</x:v>
      </x:c>
    </x:row>
    <x:row r="793">
      <x:c r="A793" s="20" t="n">
        <x:v>46179</x:v>
      </x:c>
      <x:c r="B793" s="21" t="str">
        <x:v>DP-2026-027095</x:v>
      </x:c>
      <x:c r="C793" s="21" t="str">
        <x:v>WIRE TRANSFER PAYMENT - Gomez PLC - DP-2026-027095</x:v>
      </x:c>
      <x:c r="D793" s="21" t="str">
        <x:v>Supplier payment</x:v>
      </x:c>
      <x:c r="E793" s="18" t="n">
        <x:v>236.12</x:v>
      </x:c>
      <x:c r="F793" s="18"/>
      <x:c r="G793" s="18" t="n">
        <x:v>-236.12</x:v>
      </x:c>
      <x:c r="H793" s="18" t="n">
        <x:f>H792+G793</x:f>
        <x:v>8887729.20000001</x:v>
      </x:c>
    </x:row>
    <x:row r="794">
      <x:c r="A794" s="20" t="n">
        <x:v>46179</x:v>
      </x:c>
      <x:c r="B794" s="21" t="str">
        <x:v>DP-2026-027100</x:v>
      </x:c>
      <x:c r="C794" s="21" t="str">
        <x:v>ACH PAYMENT - Thomas, Robinson and Cunningham - DP-2026-027100</x:v>
      </x:c>
      <x:c r="D794" s="21" t="str">
        <x:v>Supplier payment</x:v>
      </x:c>
      <x:c r="E794" s="18" t="n">
        <x:v>1516.64</x:v>
      </x:c>
      <x:c r="F794" s="18"/>
      <x:c r="G794" s="18" t="n">
        <x:v>-1516.64</x:v>
      </x:c>
      <x:c r="H794" s="18" t="n">
        <x:f>H793+G794</x:f>
        <x:v>8886212.56000001</x:v>
      </x:c>
    </x:row>
    <x:row r="795">
      <x:c r="A795" s="20" t="n">
        <x:v>46179</x:v>
      </x:c>
      <x:c r="B795" s="21" t="str">
        <x:v>DP-2026-027105</x:v>
      </x:c>
      <x:c r="C795" s="21" t="str">
        <x:v>ACH PAYMENT - Martinez, Green and Gentry - DP-2026-027105</x:v>
      </x:c>
      <x:c r="D795" s="21" t="str">
        <x:v>Supplier payment</x:v>
      </x:c>
      <x:c r="E795" s="18" t="n">
        <x:v>1208.65</x:v>
      </x:c>
      <x:c r="F795" s="18"/>
      <x:c r="G795" s="18" t="n">
        <x:v>-1208.65</x:v>
      </x:c>
      <x:c r="H795" s="18" t="n">
        <x:f>H794+G795</x:f>
        <x:v>8885003.91000001</x:v>
      </x:c>
    </x:row>
    <x:row r="796">
      <x:c r="A796" s="20" t="n">
        <x:v>46179</x:v>
      </x:c>
      <x:c r="B796" s="21" t="str">
        <x:v>DP-2026-027108</x:v>
      </x:c>
      <x:c r="C796" s="21" t="str">
        <x:v>ACH PAYMENT - Smith-Ray - DP-2026-027108</x:v>
      </x:c>
      <x:c r="D796" s="21" t="str">
        <x:v>Supplier payment</x:v>
      </x:c>
      <x:c r="E796" s="18" t="n">
        <x:v>587.9</x:v>
      </x:c>
      <x:c r="F796" s="18"/>
      <x:c r="G796" s="18" t="n">
        <x:v>-587.9</x:v>
      </x:c>
      <x:c r="H796" s="18" t="n">
        <x:f>H795+G796</x:f>
        <x:v>8884416.01000001</x:v>
      </x:c>
    </x:row>
    <x:row r="797">
      <x:c r="A797" s="20" t="n">
        <x:v>46179</x:v>
      </x:c>
      <x:c r="B797" s="21" t="str">
        <x:v>DP-2026-027785</x:v>
      </x:c>
      <x:c r="C797" s="21" t="str">
        <x:v>ACH PAYMENT - Villarreal, Mcdonald and Scott - DP-2026-027785</x:v>
      </x:c>
      <x:c r="D797" s="21" t="str">
        <x:v>Supplier payment</x:v>
      </x:c>
      <x:c r="E797" s="18" t="n">
        <x:v>812.67</x:v>
      </x:c>
      <x:c r="F797" s="18"/>
      <x:c r="G797" s="18" t="n">
        <x:v>-812.67</x:v>
      </x:c>
      <x:c r="H797" s="18" t="n">
        <x:f>H796+G797</x:f>
        <x:v>8883603.34000001</x:v>
      </x:c>
    </x:row>
    <x:row r="798">
      <x:c r="A798" s="20" t="n">
        <x:v>46179</x:v>
      </x:c>
      <x:c r="B798" s="21" t="str">
        <x:v>DP-2026-027798</x:v>
      </x:c>
      <x:c r="C798" s="21" t="str">
        <x:v>ACH PAYMENT - Berger, Stanley and Cooper - DP-2026-027798</x:v>
      </x:c>
      <x:c r="D798" s="21" t="str">
        <x:v>Supplier payment</x:v>
      </x:c>
      <x:c r="E798" s="18" t="n">
        <x:v>29469</x:v>
      </x:c>
      <x:c r="F798" s="18"/>
      <x:c r="G798" s="18" t="n">
        <x:v>-29469</x:v>
      </x:c>
      <x:c r="H798" s="18" t="n">
        <x:f>H797+G798</x:f>
        <x:v>8854134.34000001</x:v>
      </x:c>
    </x:row>
    <x:row r="799">
      <x:c r="A799" s="20" t="n">
        <x:v>46179</x:v>
      </x:c>
      <x:c r="B799" s="21" t="str">
        <x:v>DP-2026-027801</x:v>
      </x:c>
      <x:c r="C799" s="21" t="str">
        <x:v>WIRE TRANSFER PAYMENT - Kaufman-Williams - DP-2026-027801</x:v>
      </x:c>
      <x:c r="D799" s="21" t="str">
        <x:v>Supplier payment</x:v>
      </x:c>
      <x:c r="E799" s="18" t="n">
        <x:v>280.82</x:v>
      </x:c>
      <x:c r="F799" s="18"/>
      <x:c r="G799" s="18" t="n">
        <x:v>-280.82</x:v>
      </x:c>
      <x:c r="H799" s="18" t="n">
        <x:f>H798+G799</x:f>
        <x:v>8853853.520000009</x:v>
      </x:c>
    </x:row>
    <x:row r="800">
      <x:c r="A800" s="20" t="n">
        <x:v>46179</x:v>
      </x:c>
      <x:c r="B800" s="21" t="str">
        <x:v>DP-2026-027805</x:v>
      </x:c>
      <x:c r="C800" s="21" t="str">
        <x:v>ACH PAYMENT - Bell, Pruitt and David - DP-2026-027805</x:v>
      </x:c>
      <x:c r="D800" s="21" t="str">
        <x:v>Supplier payment</x:v>
      </x:c>
      <x:c r="E800" s="18" t="n">
        <x:v>288.32</x:v>
      </x:c>
      <x:c r="F800" s="18"/>
      <x:c r="G800" s="18" t="n">
        <x:v>-288.32</x:v>
      </x:c>
      <x:c r="H800" s="18" t="n">
        <x:f>H799+G800</x:f>
        <x:v>8853565.200000009</x:v>
      </x:c>
    </x:row>
    <x:row r="801">
      <x:c r="A801" s="20" t="n">
        <x:v>46179</x:v>
      </x:c>
      <x:c r="B801" s="21" t="str">
        <x:v>DP-2026-027814</x:v>
      </x:c>
      <x:c r="C801" s="21" t="str">
        <x:v>WIRE TRANSFER PAYMENT - Hale-Hart - DP-2026-027814</x:v>
      </x:c>
      <x:c r="D801" s="21" t="str">
        <x:v>Supplier payment</x:v>
      </x:c>
      <x:c r="E801" s="18" t="n">
        <x:v>514.87</x:v>
      </x:c>
      <x:c r="F801" s="18"/>
      <x:c r="G801" s="18" t="n">
        <x:v>-514.87</x:v>
      </x:c>
      <x:c r="H801" s="18" t="n">
        <x:f>H800+G801</x:f>
        <x:v>8853050.33000001</x:v>
      </x:c>
    </x:row>
    <x:row r="802">
      <x:c r="A802" s="20" t="n">
        <x:v>46179</x:v>
      </x:c>
      <x:c r="B802" s="21" t="str">
        <x:v>DP-2026-027822</x:v>
      </x:c>
      <x:c r="C802" s="21" t="str">
        <x:v>ACH PAYMENT - Hernandez, Melendez and Mcdowell - DP-2026-027822</x:v>
      </x:c>
      <x:c r="D802" s="21" t="str">
        <x:v>Supplier payment</x:v>
      </x:c>
      <x:c r="E802" s="18" t="n">
        <x:v>343.16</x:v>
      </x:c>
      <x:c r="F802" s="18"/>
      <x:c r="G802" s="18" t="n">
        <x:v>-343.16</x:v>
      </x:c>
      <x:c r="H802" s="18" t="n">
        <x:f>H801+G802</x:f>
        <x:v>8852707.17000001</x:v>
      </x:c>
    </x:row>
    <x:row r="803">
      <x:c r="A803" s="20" t="n">
        <x:v>46179</x:v>
      </x:c>
      <x:c r="B803" s="21" t="str">
        <x:v>DP-2026-027836</x:v>
      </x:c>
      <x:c r="C803" s="21" t="str">
        <x:v>ACH PAYMENT - Garcia Group - DP-2026-027836</x:v>
      </x:c>
      <x:c r="D803" s="21" t="str">
        <x:v>Supplier payment</x:v>
      </x:c>
      <x:c r="E803" s="18" t="n">
        <x:v>1277.02</x:v>
      </x:c>
      <x:c r="F803" s="18"/>
      <x:c r="G803" s="18" t="n">
        <x:v>-1277.02</x:v>
      </x:c>
      <x:c r="H803" s="18" t="n">
        <x:f>H802+G803</x:f>
        <x:v>8851430.15000001</x:v>
      </x:c>
    </x:row>
    <x:row r="804">
      <x:c r="A804" s="20" t="n">
        <x:v>46179</x:v>
      </x:c>
      <x:c r="B804" s="21" t="str">
        <x:v>DP-2026-027842</x:v>
      </x:c>
      <x:c r="C804" s="21" t="str">
        <x:v>ACH PAYMENT - Bell, Pruitt and David - DP-2026-027842</x:v>
      </x:c>
      <x:c r="D804" s="21" t="str">
        <x:v>Supplier payment</x:v>
      </x:c>
      <x:c r="E804" s="18" t="n">
        <x:v>81.28</x:v>
      </x:c>
      <x:c r="F804" s="18"/>
      <x:c r="G804" s="18" t="n">
        <x:v>-81.28</x:v>
      </x:c>
      <x:c r="H804" s="18" t="n">
        <x:f>H803+G804</x:f>
        <x:v>8851348.87000001</x:v>
      </x:c>
    </x:row>
    <x:row r="805">
      <x:c r="A805" s="20" t="n">
        <x:v>46179</x:v>
      </x:c>
      <x:c r="B805" s="21" t="str">
        <x:v>DP-2026-027851</x:v>
      </x:c>
      <x:c r="C805" s="21" t="str">
        <x:v>ACH PAYMENT - Patterson-Smith - DP-2026-027851</x:v>
      </x:c>
      <x:c r="D805" s="21" t="str">
        <x:v>Supplier payment</x:v>
      </x:c>
      <x:c r="E805" s="18" t="n">
        <x:v>500.31</x:v>
      </x:c>
      <x:c r="F805" s="18"/>
      <x:c r="G805" s="18" t="n">
        <x:v>-500.31</x:v>
      </x:c>
      <x:c r="H805" s="18" t="n">
        <x:f>H804+G805</x:f>
        <x:v>8850848.56000001</x:v>
      </x:c>
    </x:row>
    <x:row r="806">
      <x:c r="A806" s="20" t="n">
        <x:v>46179</x:v>
      </x:c>
      <x:c r="B806" s="21" t="str">
        <x:v>DP-2026-027860</x:v>
      </x:c>
      <x:c r="C806" s="21" t="str">
        <x:v>ACH PAYMENT - Kaufman-Williams - DP-2026-027860</x:v>
      </x:c>
      <x:c r="D806" s="21" t="str">
        <x:v>Supplier payment</x:v>
      </x:c>
      <x:c r="E806" s="18" t="n">
        <x:v>1186.15</x:v>
      </x:c>
      <x:c r="F806" s="18"/>
      <x:c r="G806" s="18" t="n">
        <x:v>-1186.15</x:v>
      </x:c>
      <x:c r="H806" s="18" t="n">
        <x:f>H805+G806</x:f>
        <x:v>8849662.41000001</x:v>
      </x:c>
    </x:row>
    <x:row r="807">
      <x:c r="A807" s="20" t="n">
        <x:v>46179</x:v>
      </x:c>
      <x:c r="B807" s="21" t="str">
        <x:v>DP-2026-027876</x:v>
      </x:c>
      <x:c r="C807" s="21" t="str">
        <x:v>ACH PAYMENT - Dennis PLC - DP-2026-027876</x:v>
      </x:c>
      <x:c r="D807" s="21" t="str">
        <x:v>Supplier payment</x:v>
      </x:c>
      <x:c r="E807" s="18" t="n">
        <x:v>214.95</x:v>
      </x:c>
      <x:c r="F807" s="18"/>
      <x:c r="G807" s="18" t="n">
        <x:v>-214.95</x:v>
      </x:c>
      <x:c r="H807" s="18" t="n">
        <x:f>H806+G807</x:f>
        <x:v>8849447.46000001</x:v>
      </x:c>
    </x:row>
    <x:row r="808">
      <x:c r="A808" s="20" t="n">
        <x:v>46179</x:v>
      </x:c>
      <x:c r="B808" s="21" t="str">
        <x:v>DP-2026-027889</x:v>
      </x:c>
      <x:c r="C808" s="21" t="str">
        <x:v>ACH PAYMENT - Velasquez-Baxter - DP-2026-027889</x:v>
      </x:c>
      <x:c r="D808" s="21" t="str">
        <x:v>Supplier payment</x:v>
      </x:c>
      <x:c r="E808" s="18" t="n">
        <x:v>1447.01</x:v>
      </x:c>
      <x:c r="F808" s="18"/>
      <x:c r="G808" s="18" t="n">
        <x:v>-1447.01</x:v>
      </x:c>
      <x:c r="H808" s="18" t="n">
        <x:f>H807+G808</x:f>
        <x:v>8848000.45000001</x:v>
      </x:c>
    </x:row>
    <x:row r="809">
      <x:c r="A809" s="20" t="n">
        <x:v>46179</x:v>
      </x:c>
      <x:c r="B809" s="21" t="str">
        <x:v>DP-2026-027918</x:v>
      </x:c>
      <x:c r="C809" s="21" t="str">
        <x:v>ACH PAYMENT - Weeks Group - DP-2026-027918</x:v>
      </x:c>
      <x:c r="D809" s="21" t="str">
        <x:v>Supplier payment</x:v>
      </x:c>
      <x:c r="E809" s="18" t="n">
        <x:v>75.21</x:v>
      </x:c>
      <x:c r="F809" s="18"/>
      <x:c r="G809" s="18" t="n">
        <x:v>-75.21</x:v>
      </x:c>
      <x:c r="H809" s="18" t="n">
        <x:f>H808+G809</x:f>
        <x:v>8847925.24000001</x:v>
      </x:c>
    </x:row>
    <x:row r="810">
      <x:c r="A810" s="20" t="n">
        <x:v>46179</x:v>
      </x:c>
      <x:c r="B810" s="21" t="str">
        <x:v>DP-2026-027926</x:v>
      </x:c>
      <x:c r="C810" s="21" t="str">
        <x:v>ACH PAYMENT - Cross, Alexander and Romero - DP-2026-027926</x:v>
      </x:c>
      <x:c r="D810" s="21" t="str">
        <x:v>Supplier payment</x:v>
      </x:c>
      <x:c r="E810" s="18" t="n">
        <x:v>503.93</x:v>
      </x:c>
      <x:c r="F810" s="18"/>
      <x:c r="G810" s="18" t="n">
        <x:v>-503.93</x:v>
      </x:c>
      <x:c r="H810" s="18" t="n">
        <x:f>H809+G810</x:f>
        <x:v>8847421.31000001</x:v>
      </x:c>
    </x:row>
    <x:row r="811">
      <x:c r="A811" s="20" t="n">
        <x:v>46179</x:v>
      </x:c>
      <x:c r="B811" s="21" t="str">
        <x:v>DP-2026-027942</x:v>
      </x:c>
      <x:c r="C811" s="21" t="str">
        <x:v>ACH PAYMENT - Bell, Pruitt and David - DP-2026-027942</x:v>
      </x:c>
      <x:c r="D811" s="21" t="str">
        <x:v>Supplier payment</x:v>
      </x:c>
      <x:c r="E811" s="18" t="n">
        <x:v>575.52</x:v>
      </x:c>
      <x:c r="F811" s="18"/>
      <x:c r="G811" s="18" t="n">
        <x:v>-575.52</x:v>
      </x:c>
      <x:c r="H811" s="18" t="n">
        <x:f>H810+G811</x:f>
        <x:v>8846845.79000001</x:v>
      </x:c>
    </x:row>
    <x:row r="812">
      <x:c r="A812" s="20" t="n">
        <x:v>46179</x:v>
      </x:c>
      <x:c r="B812" s="21" t="str">
        <x:v>DP-2026-027955</x:v>
      </x:c>
      <x:c r="C812" s="21" t="str">
        <x:v>WIRE TRANSFER PAYMENT - Bell, Pruitt and David - DP-2026-027955</x:v>
      </x:c>
      <x:c r="D812" s="21" t="str">
        <x:v>Supplier payment</x:v>
      </x:c>
      <x:c r="E812" s="18" t="n">
        <x:v>394.81</x:v>
      </x:c>
      <x:c r="F812" s="18"/>
      <x:c r="G812" s="18" t="n">
        <x:v>-394.81</x:v>
      </x:c>
      <x:c r="H812" s="18" t="n">
        <x:f>H811+G812</x:f>
        <x:v>8846450.98000001</x:v>
      </x:c>
    </x:row>
    <x:row r="813">
      <x:c r="A813" s="20" t="n">
        <x:v>46179</x:v>
      </x:c>
      <x:c r="B813" s="21" t="str">
        <x:v>DP-2026-027959</x:v>
      </x:c>
      <x:c r="C813" s="21" t="str">
        <x:v>ACH PAYMENT - Evans PLC - DP-2026-027959</x:v>
      </x:c>
      <x:c r="D813" s="21" t="str">
        <x:v>Supplier payment</x:v>
      </x:c>
      <x:c r="E813" s="18" t="n">
        <x:v>1071.53</x:v>
      </x:c>
      <x:c r="F813" s="18"/>
      <x:c r="G813" s="18" t="n">
        <x:v>-1071.53</x:v>
      </x:c>
      <x:c r="H813" s="18" t="n">
        <x:f>H812+G813</x:f>
        <x:v>8845379.45000001</x:v>
      </x:c>
    </x:row>
    <x:row r="814">
      <x:c r="A814" s="20" t="n">
        <x:v>46179</x:v>
      </x:c>
      <x:c r="B814" s="21" t="str">
        <x:v>DP-2026-027974</x:v>
      </x:c>
      <x:c r="C814" s="21" t="str">
        <x:v>WIRE TRANSFER PAYMENT - Simmons, Tucker and Huang - DP-2026-027974</x:v>
      </x:c>
      <x:c r="D814" s="21" t="str">
        <x:v>Supplier payment</x:v>
      </x:c>
      <x:c r="E814" s="18" t="n">
        <x:v>2374</x:v>
      </x:c>
      <x:c r="F814" s="18"/>
      <x:c r="G814" s="18" t="n">
        <x:v>-2374</x:v>
      </x:c>
      <x:c r="H814" s="18" t="n">
        <x:f>H813+G814</x:f>
        <x:v>8843005.45000001</x:v>
      </x:c>
    </x:row>
    <x:row r="815">
      <x:c r="A815" s="20" t="n">
        <x:v>46179</x:v>
      </x:c>
      <x:c r="B815" s="21" t="str">
        <x:v>DP-2026-027990</x:v>
      </x:c>
      <x:c r="C815" s="21" t="str">
        <x:v>ACH PAYMENT - Stokes, Mann and Keller - DP-2026-027990</x:v>
      </x:c>
      <x:c r="D815" s="21" t="str">
        <x:v>Supplier payment</x:v>
      </x:c>
      <x:c r="E815" s="18" t="n">
        <x:v>343.32</x:v>
      </x:c>
      <x:c r="F815" s="18"/>
      <x:c r="G815" s="18" t="n">
        <x:v>-343.32</x:v>
      </x:c>
      <x:c r="H815" s="18" t="n">
        <x:f>H814+G815</x:f>
        <x:v>8842662.13000001</x:v>
      </x:c>
    </x:row>
    <x:row r="816">
      <x:c r="A816" s="20" t="n">
        <x:v>46179</x:v>
      </x:c>
      <x:c r="B816" s="21" t="str">
        <x:v>DP-2026-028021</x:v>
      </x:c>
      <x:c r="C816" s="21" t="str">
        <x:v>ACH PAYMENT - Hoffman LLC - DP-2026-028021</x:v>
      </x:c>
      <x:c r="D816" s="21" t="str">
        <x:v>Supplier payment</x:v>
      </x:c>
      <x:c r="E816" s="18" t="n">
        <x:v>252.41</x:v>
      </x:c>
      <x:c r="F816" s="18"/>
      <x:c r="G816" s="18" t="n">
        <x:v>-252.41</x:v>
      </x:c>
      <x:c r="H816" s="18" t="n">
        <x:f>H815+G816</x:f>
        <x:v>8842409.72000001</x:v>
      </x:c>
    </x:row>
    <x:row r="817">
      <x:c r="A817" s="20" t="n">
        <x:v>46179</x:v>
      </x:c>
      <x:c r="B817" s="21" t="str">
        <x:v>DP-2026-028027</x:v>
      </x:c>
      <x:c r="C817" s="21" t="str">
        <x:v>ACH PAYMENT - Collins-Johnson - DP-2026-028027</x:v>
      </x:c>
      <x:c r="D817" s="21" t="str">
        <x:v>Supplier payment</x:v>
      </x:c>
      <x:c r="E817" s="18" t="n">
        <x:v>1431.2</x:v>
      </x:c>
      <x:c r="F817" s="18"/>
      <x:c r="G817" s="18" t="n">
        <x:v>-1431.2</x:v>
      </x:c>
      <x:c r="H817" s="18" t="n">
        <x:f>H816+G817</x:f>
        <x:v>8840978.52000001</x:v>
      </x:c>
    </x:row>
    <x:row r="818">
      <x:c r="A818" s="20" t="n">
        <x:v>46179</x:v>
      </x:c>
      <x:c r="B818" s="21" t="str">
        <x:v>DP-2026-028039</x:v>
      </x:c>
      <x:c r="C818" s="21" t="str">
        <x:v>ACH PAYMENT - Powell Inc - DP-2026-028039</x:v>
      </x:c>
      <x:c r="D818" s="21" t="str">
        <x:v>Supplier payment</x:v>
      </x:c>
      <x:c r="E818" s="18" t="n">
        <x:v>75.05</x:v>
      </x:c>
      <x:c r="F818" s="18"/>
      <x:c r="G818" s="18" t="n">
        <x:v>-75.05</x:v>
      </x:c>
      <x:c r="H818" s="18" t="n">
        <x:f>H817+G818</x:f>
        <x:v>8840903.47000001</x:v>
      </x:c>
    </x:row>
    <x:row r="819">
      <x:c r="A819" s="20" t="n">
        <x:v>46179</x:v>
      </x:c>
      <x:c r="B819" s="21" t="str">
        <x:v>DP-2026-028063</x:v>
      </x:c>
      <x:c r="C819" s="21" t="str">
        <x:v>ACH PAYMENT - Hester Ltd - DP-2026-028063</x:v>
      </x:c>
      <x:c r="D819" s="21" t="str">
        <x:v>Supplier payment</x:v>
      </x:c>
      <x:c r="E819" s="18" t="n">
        <x:v>115.11</x:v>
      </x:c>
      <x:c r="F819" s="18"/>
      <x:c r="G819" s="18" t="n">
        <x:v>-115.11</x:v>
      </x:c>
      <x:c r="H819" s="18" t="n">
        <x:f>H818+G819</x:f>
        <x:v>8840788.36000001</x:v>
      </x:c>
    </x:row>
    <x:row r="820">
      <x:c r="A820" s="20" t="n">
        <x:v>46179</x:v>
      </x:c>
      <x:c r="B820" s="21" t="str">
        <x:v>RF00000175</x:v>
      </x:c>
      <x:c r="C820" s="21" t="str">
        <x:v>CUSTOMER REFUND - RF-2026-000175</x:v>
      </x:c>
      <x:c r="D820" s="21" t="str">
        <x:v>Customer refund</x:v>
      </x:c>
      <x:c r="E820" s="18" t="n">
        <x:v>69.19</x:v>
      </x:c>
      <x:c r="F820" s="18"/>
      <x:c r="G820" s="18" t="n">
        <x:v>-69.19</x:v>
      </x:c>
      <x:c r="H820" s="18" t="n">
        <x:f>H819+G820</x:f>
        <x:v>8840719.170000011</x:v>
      </x:c>
    </x:row>
    <x:row r="821">
      <x:c r="A821" s="20" t="n">
        <x:v>46180</x:v>
      </x:c>
      <x:c r="B821" s="21" t="str">
        <x:v>AR00005964</x:v>
      </x:c>
      <x:c r="C821" s="21" t="str">
        <x:v>CUSTOMER DEPOSIT - Davidson-Riley - CR-2026-005964</x:v>
      </x:c>
      <x:c r="D821" s="21" t="str">
        <x:v>Customer deposit</x:v>
      </x:c>
      <x:c r="E821" s="18"/>
      <x:c r="F821" s="18" t="n">
        <x:v>3511.63</x:v>
      </x:c>
      <x:c r="G821" s="18" t="n">
        <x:v>3511.63</x:v>
      </x:c>
      <x:c r="H821" s="18" t="n">
        <x:f>H820+G821</x:f>
        <x:v>8844230.800000012</x:v>
      </x:c>
    </x:row>
    <x:row r="822">
      <x:c r="A822" s="20" t="n">
        <x:v>46180</x:v>
      </x:c>
      <x:c r="B822" s="21" t="str">
        <x:v>AR00005997</x:v>
      </x:c>
      <x:c r="C822" s="21" t="str">
        <x:v>CUSTOMER DEPOSIT - Russell PLC - CR-2026-005997</x:v>
      </x:c>
      <x:c r="D822" s="21" t="str">
        <x:v>Customer deposit</x:v>
      </x:c>
      <x:c r="E822" s="18"/>
      <x:c r="F822" s="18" t="n">
        <x:v>0.01</x:v>
      </x:c>
      <x:c r="G822" s="18" t="n">
        <x:v>0.01</x:v>
      </x:c>
      <x:c r="H822" s="18" t="n">
        <x:f>H821+G822</x:f>
        <x:v>8844230.810000012</x:v>
      </x:c>
    </x:row>
    <x:row r="823">
      <x:c r="A823" s="20" t="n">
        <x:v>46180</x:v>
      </x:c>
      <x:c r="B823" s="21" t="str">
        <x:v>AR00006008</x:v>
      </x:c>
      <x:c r="C823" s="21" t="str">
        <x:v>CUSTOMER DEPOSIT - Flores, Erickson and Black - CR-2026-006008</x:v>
      </x:c>
      <x:c r="D823" s="21" t="str">
        <x:v>Customer deposit</x:v>
      </x:c>
      <x:c r="E823" s="18"/>
      <x:c r="F823" s="18" t="n">
        <x:v>36.36</x:v>
      </x:c>
      <x:c r="G823" s="18" t="n">
        <x:v>36.36</x:v>
      </x:c>
      <x:c r="H823" s="18" t="n">
        <x:f>H822+G823</x:f>
        <x:v>8844267.170000011</x:v>
      </x:c>
    </x:row>
    <x:row r="824">
      <x:c r="A824" s="20" t="n">
        <x:v>46180</x:v>
      </x:c>
      <x:c r="B824" s="21" t="str">
        <x:v>AR00006035</x:v>
      </x:c>
      <x:c r="C824" s="21" t="str">
        <x:v>CUSTOMER DEPOSIT - Clayton-Duffy - CR-2026-006035</x:v>
      </x:c>
      <x:c r="D824" s="21" t="str">
        <x:v>Customer deposit</x:v>
      </x:c>
      <x:c r="E824" s="18"/>
      <x:c r="F824" s="18" t="n">
        <x:v>494.73</x:v>
      </x:c>
      <x:c r="G824" s="18" t="n">
        <x:v>494.73</x:v>
      </x:c>
      <x:c r="H824" s="18" t="n">
        <x:f>H823+G824</x:f>
        <x:v>8844761.900000012</x:v>
      </x:c>
    </x:row>
    <x:row r="825">
      <x:c r="A825" s="20" t="n">
        <x:v>46180</x:v>
      </x:c>
      <x:c r="B825" s="21" t="str">
        <x:v>AR00006082</x:v>
      </x:c>
      <x:c r="C825" s="21" t="str">
        <x:v>CUSTOMER DEPOSIT - Blair, Gross and Webb - CR-2026-006082</x:v>
      </x:c>
      <x:c r="D825" s="21" t="str">
        <x:v>Customer deposit</x:v>
      </x:c>
      <x:c r="E825" s="18"/>
      <x:c r="F825" s="18" t="n">
        <x:v>0.61</x:v>
      </x:c>
      <x:c r="G825" s="18" t="n">
        <x:v>0.61</x:v>
      </x:c>
      <x:c r="H825" s="18" t="n">
        <x:f>H824+G825</x:f>
        <x:v>8844762.510000011</x:v>
      </x:c>
    </x:row>
    <x:row r="826">
      <x:c r="A826" s="20" t="n">
        <x:v>46180</x:v>
      </x:c>
      <x:c r="B826" s="21" t="str">
        <x:v>AR00006116</x:v>
      </x:c>
      <x:c r="C826" s="21" t="str">
        <x:v>CUSTOMER DEPOSIT - Nichols, Barnes and Payne - CR-2026-006116</x:v>
      </x:c>
      <x:c r="D826" s="21" t="str">
        <x:v>Customer deposit</x:v>
      </x:c>
      <x:c r="E826" s="18"/>
      <x:c r="F826" s="18" t="n">
        <x:v>9.87</x:v>
      </x:c>
      <x:c r="G826" s="18" t="n">
        <x:v>9.87</x:v>
      </x:c>
      <x:c r="H826" s="18" t="n">
        <x:f>H825+G826</x:f>
        <x:v>8844772.38000001</x:v>
      </x:c>
    </x:row>
    <x:row r="827">
      <x:c r="A827" s="20" t="n">
        <x:v>46180</x:v>
      </x:c>
      <x:c r="B827" s="21" t="str">
        <x:v>CHK0027092</x:v>
      </x:c>
      <x:c r="C827" s="21" t="str">
        <x:v>CHECK PAYMENT - Harris and Sons - DP-2026-027092</x:v>
      </x:c>
      <x:c r="D827" s="21" t="str">
        <x:v>Supplier payment</x:v>
      </x:c>
      <x:c r="E827" s="18" t="n">
        <x:v>1236.3</x:v>
      </x:c>
      <x:c r="F827" s="18"/>
      <x:c r="G827" s="18" t="n">
        <x:v>-1236.3</x:v>
      </x:c>
      <x:c r="H827" s="18" t="n">
        <x:f>H826+G827</x:f>
        <x:v>8843536.08000001</x:v>
      </x:c>
    </x:row>
    <x:row r="828">
      <x:c r="A828" s="20" t="n">
        <x:v>46180</x:v>
      </x:c>
      <x:c r="B828" s="21" t="str">
        <x:v>CHK0027109</x:v>
      </x:c>
      <x:c r="C828" s="21" t="str">
        <x:v>CHECK PAYMENT - Powell Inc - DP-2026-027109</x:v>
      </x:c>
      <x:c r="D828" s="21" t="str">
        <x:v>Supplier payment</x:v>
      </x:c>
      <x:c r="E828" s="18" t="n">
        <x:v>1937.72</x:v>
      </x:c>
      <x:c r="F828" s="18"/>
      <x:c r="G828" s="18" t="n">
        <x:v>-1937.72</x:v>
      </x:c>
      <x:c r="H828" s="18" t="n">
        <x:f>H827+G828</x:f>
        <x:v>8841598.360000009</x:v>
      </x:c>
    </x:row>
    <x:row r="829">
      <x:c r="A829" s="20" t="n">
        <x:v>46180</x:v>
      </x:c>
      <x:c r="B829" s="21" t="str">
        <x:v>CHK0027114</x:v>
      </x:c>
      <x:c r="C829" s="21" t="str">
        <x:v>CHECK PAYMENT - Hale-Hart - DP-2026-027114</x:v>
      </x:c>
      <x:c r="D829" s="21" t="str">
        <x:v>Supplier payment</x:v>
      </x:c>
      <x:c r="E829" s="18" t="n">
        <x:v>1078.13</x:v>
      </x:c>
      <x:c r="F829" s="18"/>
      <x:c r="G829" s="18" t="n">
        <x:v>-1078.13</x:v>
      </x:c>
      <x:c r="H829" s="18" t="n">
        <x:f>H828+G829</x:f>
        <x:v>8840520.230000008</x:v>
      </x:c>
    </x:row>
    <x:row r="830">
      <x:c r="A830" s="20" t="n">
        <x:v>46180</x:v>
      </x:c>
      <x:c r="B830" s="21" t="str">
        <x:v>CHK0027804</x:v>
      </x:c>
      <x:c r="C830" s="21" t="str">
        <x:v>CHECK PAYMENT - Anderson-Noble - DP-2026-027804</x:v>
      </x:c>
      <x:c r="D830" s="21" t="str">
        <x:v>Supplier payment</x:v>
      </x:c>
      <x:c r="E830" s="18" t="n">
        <x:v>726.18</x:v>
      </x:c>
      <x:c r="F830" s="18"/>
      <x:c r="G830" s="18" t="n">
        <x:v>-726.18</x:v>
      </x:c>
      <x:c r="H830" s="18" t="n">
        <x:f>H829+G830</x:f>
        <x:v>8839794.050000008</x:v>
      </x:c>
    </x:row>
    <x:row r="831">
      <x:c r="A831" s="20" t="n">
        <x:v>46180</x:v>
      </x:c>
      <x:c r="B831" s="21" t="str">
        <x:v>CHK0027869</x:v>
      </x:c>
      <x:c r="C831" s="21" t="str">
        <x:v>CHECK PAYMENT - Gay, Clark and Hickman - DP-2026-027869</x:v>
      </x:c>
      <x:c r="D831" s="21" t="str">
        <x:v>Supplier payment</x:v>
      </x:c>
      <x:c r="E831" s="18" t="n">
        <x:v>3964.83</x:v>
      </x:c>
      <x:c r="F831" s="18"/>
      <x:c r="G831" s="18" t="n">
        <x:v>-3964.83</x:v>
      </x:c>
      <x:c r="H831" s="18" t="n">
        <x:f>H830+G831</x:f>
        <x:v>8835829.220000008</x:v>
      </x:c>
    </x:row>
    <x:row r="832">
      <x:c r="A832" s="20" t="n">
        <x:v>46180</x:v>
      </x:c>
      <x:c r="B832" s="21" t="str">
        <x:v>CHK0027873</x:v>
      </x:c>
      <x:c r="C832" s="21" t="str">
        <x:v>CHECK PAYMENT - Collins-Johnson - DP-2026-027873</x:v>
      </x:c>
      <x:c r="D832" s="21" t="str">
        <x:v>Supplier payment</x:v>
      </x:c>
      <x:c r="E832" s="18" t="n">
        <x:v>150.1</x:v>
      </x:c>
      <x:c r="F832" s="18"/>
      <x:c r="G832" s="18" t="n">
        <x:v>-150.1</x:v>
      </x:c>
      <x:c r="H832" s="18" t="n">
        <x:f>H831+G832</x:f>
        <x:v>8835679.120000008</x:v>
      </x:c>
    </x:row>
    <x:row r="833">
      <x:c r="A833" s="20" t="n">
        <x:v>46180</x:v>
      </x:c>
      <x:c r="B833" s="21" t="str">
        <x:v>CHK0027877</x:v>
      </x:c>
      <x:c r="C833" s="21" t="str">
        <x:v>CHECK PAYMENT - Nash LLC - DP-2026-027877</x:v>
      </x:c>
      <x:c r="D833" s="21" t="str">
        <x:v>Supplier payment</x:v>
      </x:c>
      <x:c r="E833" s="18" t="n">
        <x:v>884.59</x:v>
      </x:c>
      <x:c r="F833" s="18"/>
      <x:c r="G833" s="18" t="n">
        <x:v>-884.59</x:v>
      </x:c>
      <x:c r="H833" s="18" t="n">
        <x:f>H832+G833</x:f>
        <x:v>8834794.530000009</x:v>
      </x:c>
    </x:row>
    <x:row r="834">
      <x:c r="A834" s="20" t="n">
        <x:v>46180</x:v>
      </x:c>
      <x:c r="B834" s="21" t="str">
        <x:v>CHK0027989</x:v>
      </x:c>
      <x:c r="C834" s="21" t="str">
        <x:v>CHECK PAYMENT - Hale-Hart - DP-2026-027989</x:v>
      </x:c>
      <x:c r="D834" s="21" t="str">
        <x:v>Supplier payment</x:v>
      </x:c>
      <x:c r="E834" s="18" t="n">
        <x:v>163.05</x:v>
      </x:c>
      <x:c r="F834" s="18"/>
      <x:c r="G834" s="18" t="n">
        <x:v>-163.05</x:v>
      </x:c>
      <x:c r="H834" s="18" t="n">
        <x:f>H833+G834</x:f>
        <x:v>8834631.480000008</x:v>
      </x:c>
    </x:row>
    <x:row r="835">
      <x:c r="A835" s="20" t="n">
        <x:v>46180</x:v>
      </x:c>
      <x:c r="B835" s="21" t="str">
        <x:v>CHK0027993</x:v>
      </x:c>
      <x:c r="C835" s="21" t="str">
        <x:v>CHECK PAYMENT - Garcia Group - DP-2026-027993</x:v>
      </x:c>
      <x:c r="D835" s="21" t="str">
        <x:v>Supplier payment</x:v>
      </x:c>
      <x:c r="E835" s="18" t="n">
        <x:v>876.42</x:v>
      </x:c>
      <x:c r="F835" s="18"/>
      <x:c r="G835" s="18" t="n">
        <x:v>-876.42</x:v>
      </x:c>
      <x:c r="H835" s="18" t="n">
        <x:f>H834+G835</x:f>
        <x:v>8833755.060000008</x:v>
      </x:c>
    </x:row>
    <x:row r="836">
      <x:c r="A836" s="20" t="n">
        <x:v>46180</x:v>
      </x:c>
      <x:c r="B836" s="21" t="str">
        <x:v>CHK0028005</x:v>
      </x:c>
      <x:c r="C836" s="21" t="str">
        <x:v>CHECK PAYMENT - Hester Ltd - DP-2026-028005</x:v>
      </x:c>
      <x:c r="D836" s="21" t="str">
        <x:v>Supplier payment</x:v>
      </x:c>
      <x:c r="E836" s="18" t="n">
        <x:v>367.72</x:v>
      </x:c>
      <x:c r="F836" s="18"/>
      <x:c r="G836" s="18" t="n">
        <x:v>-367.72</x:v>
      </x:c>
      <x:c r="H836" s="18" t="n">
        <x:f>H835+G836</x:f>
        <x:v>8833387.340000007</x:v>
      </x:c>
    </x:row>
    <x:row r="837">
      <x:c r="A837" s="20" t="n">
        <x:v>46180</x:v>
      </x:c>
      <x:c r="B837" s="21" t="str">
        <x:v>CHK0028043</x:v>
      </x:c>
      <x:c r="C837" s="21" t="str">
        <x:v>CHECK PAYMENT - Villarreal, Mcdonald and Scott - DP-2026-028043</x:v>
      </x:c>
      <x:c r="D837" s="21" t="str">
        <x:v>Supplier payment</x:v>
      </x:c>
      <x:c r="E837" s="18" t="n">
        <x:v>599.46</x:v>
      </x:c>
      <x:c r="F837" s="18"/>
      <x:c r="G837" s="18" t="n">
        <x:v>-599.46</x:v>
      </x:c>
      <x:c r="H837" s="18" t="n">
        <x:f>H836+G837</x:f>
        <x:v>8832787.880000006</x:v>
      </x:c>
    </x:row>
    <x:row r="838">
      <x:c r="A838" s="20" t="n">
        <x:v>46180</x:v>
      </x:c>
      <x:c r="B838" s="21" t="str">
        <x:v>DP-2026-025600</x:v>
      </x:c>
      <x:c r="C838" s="21" t="str">
        <x:v>ACH PAYMENT - Tucker Group - DP-2026-025600</x:v>
      </x:c>
      <x:c r="D838" s="21" t="str">
        <x:v>Supplier payment</x:v>
      </x:c>
      <x:c r="E838" s="18" t="n">
        <x:v>535.81</x:v>
      </x:c>
      <x:c r="F838" s="18"/>
      <x:c r="G838" s="18" t="n">
        <x:v>-535.81</x:v>
      </x:c>
      <x:c r="H838" s="18" t="n">
        <x:f>H837+G838</x:f>
        <x:v>8832252.070000006</x:v>
      </x:c>
    </x:row>
    <x:row r="839">
      <x:c r="A839" s="20" t="n">
        <x:v>46180</x:v>
      </x:c>
      <x:c r="B839" s="21" t="str">
        <x:v>DP-2026-027103</x:v>
      </x:c>
      <x:c r="C839" s="21" t="str">
        <x:v>ACH PAYMENT - Peters, Terry and Zimmerman - DP-2026-027103</x:v>
      </x:c>
      <x:c r="D839" s="21" t="str">
        <x:v>Supplier payment</x:v>
      </x:c>
      <x:c r="E839" s="18" t="n">
        <x:v>12828.67</x:v>
      </x:c>
      <x:c r="F839" s="18"/>
      <x:c r="G839" s="18" t="n">
        <x:v>-12828.67</x:v>
      </x:c>
      <x:c r="H839" s="18" t="n">
        <x:f>H838+G839</x:f>
        <x:v>8819423.400000006</x:v>
      </x:c>
    </x:row>
    <x:row r="840">
      <x:c r="A840" s="20" t="n">
        <x:v>46180</x:v>
      </x:c>
      <x:c r="B840" s="21" t="str">
        <x:v>DP-2026-027112</x:v>
      </x:c>
      <x:c r="C840" s="21" t="str">
        <x:v>ACH PAYMENT - Simmons, Tucker and Huang - DP-2026-027112</x:v>
      </x:c>
      <x:c r="D840" s="21" t="str">
        <x:v>Supplier payment</x:v>
      </x:c>
      <x:c r="E840" s="18" t="n">
        <x:v>505.96</x:v>
      </x:c>
      <x:c r="F840" s="18"/>
      <x:c r="G840" s="18" t="n">
        <x:v>-505.96</x:v>
      </x:c>
      <x:c r="H840" s="18" t="n">
        <x:f>H839+G840</x:f>
        <x:v>8818917.440000005</x:v>
      </x:c>
    </x:row>
    <x:row r="841">
      <x:c r="A841" s="20" t="n">
        <x:v>46180</x:v>
      </x:c>
      <x:c r="B841" s="21" t="str">
        <x:v>DP-2026-027113</x:v>
      </x:c>
      <x:c r="C841" s="21" t="str">
        <x:v>ACH PAYMENT - Peters, Terry and Zimmerman - DP-2026-027113</x:v>
      </x:c>
      <x:c r="D841" s="21" t="str">
        <x:v>Supplier payment</x:v>
      </x:c>
      <x:c r="E841" s="18" t="n">
        <x:v>617.69</x:v>
      </x:c>
      <x:c r="F841" s="18"/>
      <x:c r="G841" s="18" t="n">
        <x:v>-617.69</x:v>
      </x:c>
      <x:c r="H841" s="18" t="n">
        <x:f>H840+G841</x:f>
        <x:v>8818299.750000006</x:v>
      </x:c>
    </x:row>
    <x:row r="842">
      <x:c r="A842" s="20" t="n">
        <x:v>46180</x:v>
      </x:c>
      <x:c r="B842" s="21" t="str">
        <x:v>DP-2026-027799</x:v>
      </x:c>
      <x:c r="C842" s="21" t="str">
        <x:v>ACH PAYMENT - Gomez PLC - DP-2026-027799</x:v>
      </x:c>
      <x:c r="D842" s="21" t="str">
        <x:v>Supplier payment</x:v>
      </x:c>
      <x:c r="E842" s="18" t="n">
        <x:v>4544.72</x:v>
      </x:c>
      <x:c r="F842" s="18"/>
      <x:c r="G842" s="18" t="n">
        <x:v>-4544.72</x:v>
      </x:c>
      <x:c r="H842" s="18" t="n">
        <x:f>H841+G842</x:f>
        <x:v>8813755.030000005</x:v>
      </x:c>
    </x:row>
    <x:row r="843">
      <x:c r="A843" s="20" t="n">
        <x:v>46180</x:v>
      </x:c>
      <x:c r="B843" s="21" t="str">
        <x:v>DP-2026-027800</x:v>
      </x:c>
      <x:c r="C843" s="21" t="str">
        <x:v>ACH PAYMENT - Chambers PLC - DP-2026-027800</x:v>
      </x:c>
      <x:c r="D843" s="21" t="str">
        <x:v>Supplier payment</x:v>
      </x:c>
      <x:c r="E843" s="18" t="n">
        <x:v>290.68</x:v>
      </x:c>
      <x:c r="F843" s="18"/>
      <x:c r="G843" s="18" t="n">
        <x:v>-290.68</x:v>
      </x:c>
      <x:c r="H843" s="18" t="n">
        <x:f>H842+G843</x:f>
        <x:v>8813464.350000005</x:v>
      </x:c>
    </x:row>
    <x:row r="844">
      <x:c r="A844" s="20" t="n">
        <x:v>46180</x:v>
      </x:c>
      <x:c r="B844" s="21" t="str">
        <x:v>DP-2026-027821</x:v>
      </x:c>
      <x:c r="C844" s="21" t="str">
        <x:v>ACH PAYMENT - Henderson, Bennett and Pena - DP-2026-027821</x:v>
      </x:c>
      <x:c r="D844" s="21" t="str">
        <x:v>Supplier payment</x:v>
      </x:c>
      <x:c r="E844" s="18" t="n">
        <x:v>247</x:v>
      </x:c>
      <x:c r="F844" s="18"/>
      <x:c r="G844" s="18" t="n">
        <x:v>-247</x:v>
      </x:c>
      <x:c r="H844" s="18" t="n">
        <x:f>H843+G844</x:f>
        <x:v>8813217.350000005</x:v>
      </x:c>
    </x:row>
    <x:row r="845">
      <x:c r="A845" s="20" t="n">
        <x:v>46180</x:v>
      </x:c>
      <x:c r="B845" s="21" t="str">
        <x:v>DP-2026-027845</x:v>
      </x:c>
      <x:c r="C845" s="21" t="str">
        <x:v>ACH PAYMENT - Hale-Hart - DP-2026-027845</x:v>
      </x:c>
      <x:c r="D845" s="21" t="str">
        <x:v>Supplier payment</x:v>
      </x:c>
      <x:c r="E845" s="18" t="n">
        <x:v>89.2</x:v>
      </x:c>
      <x:c r="F845" s="18"/>
      <x:c r="G845" s="18" t="n">
        <x:v>-89.2</x:v>
      </x:c>
      <x:c r="H845" s="18" t="n">
        <x:f>H844+G845</x:f>
        <x:v>8813128.150000006</x:v>
      </x:c>
    </x:row>
    <x:row r="846">
      <x:c r="A846" s="20" t="n">
        <x:v>46180</x:v>
      </x:c>
      <x:c r="B846" s="21" t="str">
        <x:v>DP-2026-027867</x:v>
      </x:c>
      <x:c r="C846" s="21" t="str">
        <x:v>ACH PAYMENT - Peters, Terry and Zimmerman - DP-2026-027867</x:v>
      </x:c>
      <x:c r="D846" s="21" t="str">
        <x:v>Supplier payment</x:v>
      </x:c>
      <x:c r="E846" s="18" t="n">
        <x:v>1817.95</x:v>
      </x:c>
      <x:c r="F846" s="18"/>
      <x:c r="G846" s="18" t="n">
        <x:v>-1817.95</x:v>
      </x:c>
      <x:c r="H846" s="18" t="n">
        <x:f>H845+G846</x:f>
        <x:v>8811310.200000007</x:v>
      </x:c>
    </x:row>
    <x:row r="847">
      <x:c r="A847" s="20" t="n">
        <x:v>46180</x:v>
      </x:c>
      <x:c r="B847" s="21" t="str">
        <x:v>DP-2026-027870</x:v>
      </x:c>
      <x:c r="C847" s="21" t="str">
        <x:v>WIRE TRANSFER PAYMENT - Bell, Pruitt and David - DP-2026-027870</x:v>
      </x:c>
      <x:c r="D847" s="21" t="str">
        <x:v>Supplier payment</x:v>
      </x:c>
      <x:c r="E847" s="18" t="n">
        <x:v>884.81</x:v>
      </x:c>
      <x:c r="F847" s="18"/>
      <x:c r="G847" s="18" t="n">
        <x:v>-884.81</x:v>
      </x:c>
      <x:c r="H847" s="18" t="n">
        <x:f>H846+G847</x:f>
        <x:v>8810425.390000006</x:v>
      </x:c>
    </x:row>
    <x:row r="848">
      <x:c r="A848" s="20" t="n">
        <x:v>46180</x:v>
      </x:c>
      <x:c r="B848" s="21" t="str">
        <x:v>DP-2026-027871</x:v>
      </x:c>
      <x:c r="C848" s="21" t="str">
        <x:v>ACH PAYMENT - Morrison-Smith - DP-2026-027871</x:v>
      </x:c>
      <x:c r="D848" s="21" t="str">
        <x:v>Supplier payment</x:v>
      </x:c>
      <x:c r="E848" s="18" t="n">
        <x:v>613.91</x:v>
      </x:c>
      <x:c r="F848" s="18"/>
      <x:c r="G848" s="18" t="n">
        <x:v>-613.91</x:v>
      </x:c>
      <x:c r="H848" s="18" t="n">
        <x:f>H847+G848</x:f>
        <x:v>8809811.480000006</x:v>
      </x:c>
    </x:row>
    <x:row r="849">
      <x:c r="A849" s="20" t="n">
        <x:v>46180</x:v>
      </x:c>
      <x:c r="B849" s="21" t="str">
        <x:v>DP-2026-027872</x:v>
      </x:c>
      <x:c r="C849" s="21" t="str">
        <x:v>ACH PAYMENT - Bell, Pruitt and David - DP-2026-027872</x:v>
      </x:c>
      <x:c r="D849" s="21" t="str">
        <x:v>Supplier payment</x:v>
      </x:c>
      <x:c r="E849" s="18" t="n">
        <x:v>148.46</x:v>
      </x:c>
      <x:c r="F849" s="18"/>
      <x:c r="G849" s="18" t="n">
        <x:v>-148.46</x:v>
      </x:c>
      <x:c r="H849" s="18" t="n">
        <x:f>H848+G849</x:f>
        <x:v>8809663.020000005</x:v>
      </x:c>
    </x:row>
    <x:row r="850">
      <x:c r="A850" s="20" t="n">
        <x:v>46180</x:v>
      </x:c>
      <x:c r="B850" s="21" t="str">
        <x:v>DP-2026-027917</x:v>
      </x:c>
      <x:c r="C850" s="21" t="str">
        <x:v>ACH PAYMENT - Lyons-Sheppard - DP-2026-027917</x:v>
      </x:c>
      <x:c r="D850" s="21" t="str">
        <x:v>Supplier payment</x:v>
      </x:c>
      <x:c r="E850" s="18" t="n">
        <x:v>853.49</x:v>
      </x:c>
      <x:c r="F850" s="18"/>
      <x:c r="G850" s="18" t="n">
        <x:v>-853.49</x:v>
      </x:c>
      <x:c r="H850" s="18" t="n">
        <x:f>H849+G850</x:f>
        <x:v>8808809.530000005</x:v>
      </x:c>
    </x:row>
    <x:row r="851">
      <x:c r="A851" s="20" t="n">
        <x:v>46180</x:v>
      </x:c>
      <x:c r="B851" s="21" t="str">
        <x:v>DP-2026-027921</x:v>
      </x:c>
      <x:c r="C851" s="21" t="str">
        <x:v>ACH PAYMENT - Gomez PLC - DP-2026-027921</x:v>
      </x:c>
      <x:c r="D851" s="21" t="str">
        <x:v>Supplier payment</x:v>
      </x:c>
      <x:c r="E851" s="18" t="n">
        <x:v>1176.13</x:v>
      </x:c>
      <x:c r="F851" s="18"/>
      <x:c r="G851" s="18" t="n">
        <x:v>-1176.13</x:v>
      </x:c>
      <x:c r="H851" s="18" t="n">
        <x:f>H850+G851</x:f>
        <x:v>8807633.400000004</x:v>
      </x:c>
    </x:row>
    <x:row r="852">
      <x:c r="A852" s="20" t="n">
        <x:v>46180</x:v>
      </x:c>
      <x:c r="B852" s="21" t="str">
        <x:v>DP-2026-027929</x:v>
      </x:c>
      <x:c r="C852" s="21" t="str">
        <x:v>ACH PAYMENT - Kaufman-Williams - DP-2026-027929</x:v>
      </x:c>
      <x:c r="D852" s="21" t="str">
        <x:v>Supplier payment</x:v>
      </x:c>
      <x:c r="E852" s="18" t="n">
        <x:v>1147.71</x:v>
      </x:c>
      <x:c r="F852" s="18"/>
      <x:c r="G852" s="18" t="n">
        <x:v>-1147.71</x:v>
      </x:c>
      <x:c r="H852" s="18" t="n">
        <x:f>H851+G852</x:f>
        <x:v>8806485.690000003</x:v>
      </x:c>
    </x:row>
    <x:row r="853">
      <x:c r="A853" s="20" t="n">
        <x:v>46180</x:v>
      </x:c>
      <x:c r="B853" s="21" t="str">
        <x:v>DP-2026-027934</x:v>
      </x:c>
      <x:c r="C853" s="21" t="str">
        <x:v>ACH PAYMENT - Keith PLC - DP-2026-027934</x:v>
      </x:c>
      <x:c r="D853" s="21" t="str">
        <x:v>Supplier payment</x:v>
      </x:c>
      <x:c r="E853" s="18" t="n">
        <x:v>562.73</x:v>
      </x:c>
      <x:c r="F853" s="18"/>
      <x:c r="G853" s="18" t="n">
        <x:v>-562.73</x:v>
      </x:c>
      <x:c r="H853" s="18" t="n">
        <x:f>H852+G853</x:f>
        <x:v>8805922.960000003</x:v>
      </x:c>
    </x:row>
    <x:row r="854">
      <x:c r="A854" s="20" t="n">
        <x:v>46180</x:v>
      </x:c>
      <x:c r="B854" s="21" t="str">
        <x:v>DP-2026-027949</x:v>
      </x:c>
      <x:c r="C854" s="21" t="str">
        <x:v>ACH PAYMENT - Brooks, Johnson and Olson - DP-2026-027949</x:v>
      </x:c>
      <x:c r="D854" s="21" t="str">
        <x:v>Supplier payment</x:v>
      </x:c>
      <x:c r="E854" s="18" t="n">
        <x:v>450.97</x:v>
      </x:c>
      <x:c r="F854" s="18"/>
      <x:c r="G854" s="18" t="n">
        <x:v>-450.97</x:v>
      </x:c>
      <x:c r="H854" s="18" t="n">
        <x:f>H853+G854</x:f>
        <x:v>8805471.990000002</x:v>
      </x:c>
    </x:row>
    <x:row r="855">
      <x:c r="A855" s="20" t="n">
        <x:v>46180</x:v>
      </x:c>
      <x:c r="B855" s="21" t="str">
        <x:v>DP-2026-027953</x:v>
      </x:c>
      <x:c r="C855" s="21" t="str">
        <x:v>ACH PAYMENT - Harris, Taylor and Perkins - DP-2026-027953</x:v>
      </x:c>
      <x:c r="D855" s="21" t="str">
        <x:v>Supplier payment</x:v>
      </x:c>
      <x:c r="E855" s="18" t="n">
        <x:v>781.58</x:v>
      </x:c>
      <x:c r="F855" s="18"/>
      <x:c r="G855" s="18" t="n">
        <x:v>-781.58</x:v>
      </x:c>
      <x:c r="H855" s="18" t="n">
        <x:f>H854+G855</x:f>
        <x:v>8804690.410000002</x:v>
      </x:c>
    </x:row>
    <x:row r="856">
      <x:c r="A856" s="20" t="n">
        <x:v>46180</x:v>
      </x:c>
      <x:c r="B856" s="21" t="str">
        <x:v>DP-2026-027954</x:v>
      </x:c>
      <x:c r="C856" s="21" t="str">
        <x:v>ACH PAYMENT - Garcia Group - DP-2026-027954</x:v>
      </x:c>
      <x:c r="D856" s="21" t="str">
        <x:v>Supplier payment</x:v>
      </x:c>
      <x:c r="E856" s="18" t="n">
        <x:v>1683.7</x:v>
      </x:c>
      <x:c r="F856" s="18"/>
      <x:c r="G856" s="18" t="n">
        <x:v>-1683.7</x:v>
      </x:c>
      <x:c r="H856" s="18" t="n">
        <x:f>H855+G856</x:f>
        <x:v>8803006.710000003</x:v>
      </x:c>
    </x:row>
    <x:row r="857">
      <x:c r="A857" s="20" t="n">
        <x:v>46180</x:v>
      </x:c>
      <x:c r="B857" s="21" t="str">
        <x:v>DP-2026-027984</x:v>
      </x:c>
      <x:c r="C857" s="21" t="str">
        <x:v>ACH PAYMENT - Hoffman LLC - DP-2026-027984</x:v>
      </x:c>
      <x:c r="D857" s="21" t="str">
        <x:v>Supplier payment</x:v>
      </x:c>
      <x:c r="E857" s="18" t="n">
        <x:v>1499</x:v>
      </x:c>
      <x:c r="F857" s="18"/>
      <x:c r="G857" s="18" t="n">
        <x:v>-1499</x:v>
      </x:c>
      <x:c r="H857" s="18" t="n">
        <x:f>H856+G857</x:f>
        <x:v>8801507.710000003</x:v>
      </x:c>
    </x:row>
    <x:row r="858">
      <x:c r="A858" s="20" t="n">
        <x:v>46180</x:v>
      </x:c>
      <x:c r="B858" s="21" t="str">
        <x:v>DP-2026-027991</x:v>
      </x:c>
      <x:c r="C858" s="21" t="str">
        <x:v>ACH PAYMENT - Berger, Stanley and Cooper - DP-2026-027991</x:v>
      </x:c>
      <x:c r="D858" s="21" t="str">
        <x:v>Supplier payment</x:v>
      </x:c>
      <x:c r="E858" s="18" t="n">
        <x:v>1713.93</x:v>
      </x:c>
      <x:c r="F858" s="18"/>
      <x:c r="G858" s="18" t="n">
        <x:v>-1713.93</x:v>
      </x:c>
      <x:c r="H858" s="18" t="n">
        <x:f>H857+G858</x:f>
        <x:v>8799793.780000003</x:v>
      </x:c>
    </x:row>
    <x:row r="859">
      <x:c r="A859" s="20" t="n">
        <x:v>46180</x:v>
      </x:c>
      <x:c r="B859" s="21" t="str">
        <x:v>DP-2026-027994</x:v>
      </x:c>
      <x:c r="C859" s="21" t="str">
        <x:v>ACH PAYMENT - Villarreal, Mcdonald and Scott - DP-2026-027994</x:v>
      </x:c>
      <x:c r="D859" s="21" t="str">
        <x:v>Supplier payment</x:v>
      </x:c>
      <x:c r="E859" s="18" t="n">
        <x:v>334.08</x:v>
      </x:c>
      <x:c r="F859" s="18"/>
      <x:c r="G859" s="18" t="n">
        <x:v>-334.08</x:v>
      </x:c>
      <x:c r="H859" s="18" t="n">
        <x:f>H858+G859</x:f>
        <x:v>8799459.700000003</x:v>
      </x:c>
    </x:row>
    <x:row r="860">
      <x:c r="A860" s="20" t="n">
        <x:v>46180</x:v>
      </x:c>
      <x:c r="B860" s="21" t="str">
        <x:v>DP-2026-028048</x:v>
      </x:c>
      <x:c r="C860" s="21" t="str">
        <x:v>WIRE TRANSFER PAYMENT - Collins-Johnson - DP-2026-028048</x:v>
      </x:c>
      <x:c r="D860" s="21" t="str">
        <x:v>Supplier payment</x:v>
      </x:c>
      <x:c r="E860" s="18" t="n">
        <x:v>2215.96</x:v>
      </x:c>
      <x:c r="F860" s="18"/>
      <x:c r="G860" s="18" t="n">
        <x:v>-2215.96</x:v>
      </x:c>
      <x:c r="H860" s="18" t="n">
        <x:f>H859+G860</x:f>
        <x:v>8797243.740000002</x:v>
      </x:c>
    </x:row>
    <x:row r="861">
      <x:c r="A861" s="20" t="n">
        <x:v>46180</x:v>
      </x:c>
      <x:c r="B861" s="21" t="str">
        <x:v>DP-2026-028069</x:v>
      </x:c>
      <x:c r="C861" s="21" t="str">
        <x:v>ACH PAYMENT - Evans PLC - DP-2026-028069</x:v>
      </x:c>
      <x:c r="D861" s="21" t="str">
        <x:v>Supplier payment</x:v>
      </x:c>
      <x:c r="E861" s="18" t="n">
        <x:v>124.41</x:v>
      </x:c>
      <x:c r="F861" s="18"/>
      <x:c r="G861" s="18" t="n">
        <x:v>-124.41</x:v>
      </x:c>
      <x:c r="H861" s="18" t="n">
        <x:f>H860+G861</x:f>
        <x:v>8797119.330000002</x:v>
      </x:c>
    </x:row>
    <x:row r="862">
      <x:c r="A862" s="20" t="n">
        <x:v>46181</x:v>
      </x:c>
      <x:c r="B862" s="21" t="str">
        <x:v>AR00005958</x:v>
      </x:c>
      <x:c r="C862" s="21" t="str">
        <x:v>CUSTOMER DEPOSIT - Chapman, Walker and Campbell - CR-2026-005958</x:v>
      </x:c>
      <x:c r="D862" s="21" t="str">
        <x:v>Customer deposit</x:v>
      </x:c>
      <x:c r="E862" s="18"/>
      <x:c r="F862" s="18" t="n">
        <x:v>374.26</x:v>
      </x:c>
      <x:c r="G862" s="18" t="n">
        <x:v>374.26</x:v>
      </x:c>
      <x:c r="H862" s="18" t="n">
        <x:f>H861+G862</x:f>
        <x:v>8797493.590000002</x:v>
      </x:c>
    </x:row>
    <x:row r="863">
      <x:c r="A863" s="20" t="n">
        <x:v>46181</x:v>
      </x:c>
      <x:c r="B863" s="21" t="str">
        <x:v>AR00005981</x:v>
      </x:c>
      <x:c r="C863" s="21" t="str">
        <x:v>CUSTOMER DEPOSIT - Webb, Melendez and Warner - CR-2026-005981</x:v>
      </x:c>
      <x:c r="D863" s="21" t="str">
        <x:v>Customer deposit</x:v>
      </x:c>
      <x:c r="E863" s="18"/>
      <x:c r="F863" s="18" t="n">
        <x:v>29.75</x:v>
      </x:c>
      <x:c r="G863" s="18" t="n">
        <x:v>29.75</x:v>
      </x:c>
      <x:c r="H863" s="18" t="n">
        <x:f>H862+G863</x:f>
        <x:v>8797523.340000002</x:v>
      </x:c>
    </x:row>
    <x:row r="864">
      <x:c r="A864" s="20" t="n">
        <x:v>46181</x:v>
      </x:c>
      <x:c r="B864" s="21" t="str">
        <x:v>AR00005999</x:v>
      </x:c>
      <x:c r="C864" s="21" t="str">
        <x:v>CUSTOMER DEPOSIT - Fields-Middleton - CR-2026-005999</x:v>
      </x:c>
      <x:c r="D864" s="21" t="str">
        <x:v>Customer deposit</x:v>
      </x:c>
      <x:c r="E864" s="18"/>
      <x:c r="F864" s="18" t="n">
        <x:v>7621.79</x:v>
      </x:c>
      <x:c r="G864" s="18" t="n">
        <x:v>7621.79</x:v>
      </x:c>
      <x:c r="H864" s="18" t="n">
        <x:f>H863+G864</x:f>
        <x:v>8805145.13</x:v>
      </x:c>
    </x:row>
    <x:row r="865">
      <x:c r="A865" s="20" t="n">
        <x:v>46181</x:v>
      </x:c>
      <x:c r="B865" s="21" t="str">
        <x:v>AR00006030</x:v>
      </x:c>
      <x:c r="C865" s="21" t="str">
        <x:v>CUSTOMER DEPOSIT - Irwin LLC - CR-2026-006030</x:v>
      </x:c>
      <x:c r="D865" s="21" t="str">
        <x:v>Customer deposit</x:v>
      </x:c>
      <x:c r="E865" s="18"/>
      <x:c r="F865" s="18" t="n">
        <x:v>805.73</x:v>
      </x:c>
      <x:c r="G865" s="18" t="n">
        <x:v>805.73</x:v>
      </x:c>
      <x:c r="H865" s="18" t="n">
        <x:f>H864+G865</x:f>
        <x:v>8805950.860000001</x:v>
      </x:c>
    </x:row>
    <x:row r="866">
      <x:c r="A866" s="20" t="n">
        <x:v>46181</x:v>
      </x:c>
      <x:c r="B866" s="21" t="str">
        <x:v>AR00006084</x:v>
      </x:c>
      <x:c r="C866" s="21" t="str">
        <x:v>CUSTOMER DEPOSIT - Perez-Donaldson - CR-2026-006084</x:v>
      </x:c>
      <x:c r="D866" s="21" t="str">
        <x:v>Customer deposit</x:v>
      </x:c>
      <x:c r="E866" s="18"/>
      <x:c r="F866" s="18" t="n">
        <x:v>0.67</x:v>
      </x:c>
      <x:c r="G866" s="18" t="n">
        <x:v>0.67</x:v>
      </x:c>
      <x:c r="H866" s="18" t="n">
        <x:f>H865+G866</x:f>
        <x:v>8805951.530000001</x:v>
      </x:c>
    </x:row>
    <x:row r="867">
      <x:c r="A867" s="20" t="n">
        <x:v>46181</x:v>
      </x:c>
      <x:c r="B867" s="21" t="str">
        <x:v>CHK0025597</x:v>
      </x:c>
      <x:c r="C867" s="21" t="str">
        <x:v>CHECK PAYMENT - Martinez LLC - DP-2026-025597</x:v>
      </x:c>
      <x:c r="D867" s="21" t="str">
        <x:v>Supplier payment</x:v>
      </x:c>
      <x:c r="E867" s="18" t="n">
        <x:v>746.95</x:v>
      </x:c>
      <x:c r="F867" s="18"/>
      <x:c r="G867" s="18" t="n">
        <x:v>-746.95</x:v>
      </x:c>
      <x:c r="H867" s="18" t="n">
        <x:f>H866+G867</x:f>
        <x:v>8805204.580000002</x:v>
      </x:c>
    </x:row>
    <x:row r="868">
      <x:c r="A868" s="20" t="n">
        <x:v>46181</x:v>
      </x:c>
      <x:c r="B868" s="21" t="str">
        <x:v>CHK0025605</x:v>
      </x:c>
      <x:c r="C868" s="21" t="str">
        <x:v>CHECK PAYMENT - Lucas, Green and Richardson - DP-2026-025605</x:v>
      </x:c>
      <x:c r="D868" s="21" t="str">
        <x:v>Supplier payment</x:v>
      </x:c>
      <x:c r="E868" s="18" t="n">
        <x:v>1112.15</x:v>
      </x:c>
      <x:c r="F868" s="18"/>
      <x:c r="G868" s="18" t="n">
        <x:v>-1112.15</x:v>
      </x:c>
      <x:c r="H868" s="18" t="n">
        <x:f>H867+G868</x:f>
        <x:v>8804092.430000002</x:v>
      </x:c>
    </x:row>
    <x:row r="869">
      <x:c r="A869" s="20" t="n">
        <x:v>46181</x:v>
      </x:c>
      <x:c r="B869" s="21" t="str">
        <x:v>CHK0027097</x:v>
      </x:c>
      <x:c r="C869" s="21" t="str">
        <x:v>CHECK PAYMENT - Hansen-Kaufman - DP-2026-027097</x:v>
      </x:c>
      <x:c r="D869" s="21" t="str">
        <x:v>Supplier payment</x:v>
      </x:c>
      <x:c r="E869" s="18" t="n">
        <x:v>1434.67</x:v>
      </x:c>
      <x:c r="F869" s="18"/>
      <x:c r="G869" s="18" t="n">
        <x:v>-1434.67</x:v>
      </x:c>
      <x:c r="H869" s="18" t="n">
        <x:f>H868+G869</x:f>
        <x:v>8802657.760000002</x:v>
      </x:c>
    </x:row>
    <x:row r="870">
      <x:c r="A870" s="20" t="n">
        <x:v>46181</x:v>
      </x:c>
      <x:c r="B870" s="21" t="str">
        <x:v>CHK0027102</x:v>
      </x:c>
      <x:c r="C870" s="21" t="str">
        <x:v>CHECK PAYMENT - Perez-Byrd - DP-2026-027102</x:v>
      </x:c>
      <x:c r="D870" s="21" t="str">
        <x:v>Supplier payment</x:v>
      </x:c>
      <x:c r="E870" s="18" t="n">
        <x:v>1166.68</x:v>
      </x:c>
      <x:c r="F870" s="18"/>
      <x:c r="G870" s="18" t="n">
        <x:v>-1166.68</x:v>
      </x:c>
      <x:c r="H870" s="18" t="n">
        <x:f>H869+G870</x:f>
        <x:v>8801491.080000002</x:v>
      </x:c>
    </x:row>
    <x:row r="871">
      <x:c r="A871" s="20" t="n">
        <x:v>46181</x:v>
      </x:c>
      <x:c r="B871" s="21" t="str">
        <x:v>CHK0027802</x:v>
      </x:c>
      <x:c r="C871" s="21" t="str">
        <x:v>CHECK PAYMENT - Kaufman-Williams - DP-2026-027802</x:v>
      </x:c>
      <x:c r="D871" s="21" t="str">
        <x:v>Supplier payment</x:v>
      </x:c>
      <x:c r="E871" s="18" t="n">
        <x:v>688.11</x:v>
      </x:c>
      <x:c r="F871" s="18"/>
      <x:c r="G871" s="18" t="n">
        <x:v>-688.11</x:v>
      </x:c>
      <x:c r="H871" s="18" t="n">
        <x:f>H870+G871</x:f>
        <x:v>8800802.970000003</x:v>
      </x:c>
    </x:row>
    <x:row r="872">
      <x:c r="A872" s="20" t="n">
        <x:v>46181</x:v>
      </x:c>
      <x:c r="B872" s="21" t="str">
        <x:v>CHK0027907</x:v>
      </x:c>
      <x:c r="C872" s="21" t="str">
        <x:v>CHECK PAYMENT - Brooks, Johnson and Olson - DP-2026-027907</x:v>
      </x:c>
      <x:c r="D872" s="21" t="str">
        <x:v>Supplier payment</x:v>
      </x:c>
      <x:c r="E872" s="18" t="n">
        <x:v>484.81</x:v>
      </x:c>
      <x:c r="F872" s="18"/>
      <x:c r="G872" s="18" t="n">
        <x:v>-484.81</x:v>
      </x:c>
      <x:c r="H872" s="18" t="n">
        <x:f>H871+G872</x:f>
        <x:v>8800318.160000002</x:v>
      </x:c>
    </x:row>
    <x:row r="873">
      <x:c r="A873" s="20" t="n">
        <x:v>46181</x:v>
      </x:c>
      <x:c r="B873" s="21" t="str">
        <x:v>CHK0027925</x:v>
      </x:c>
      <x:c r="C873" s="21" t="str">
        <x:v>CHECK PAYMENT - Clayton-Thompson - DP-2026-027925</x:v>
      </x:c>
      <x:c r="D873" s="21" t="str">
        <x:v>Supplier payment</x:v>
      </x:c>
      <x:c r="E873" s="18" t="n">
        <x:v>14473.49</x:v>
      </x:c>
      <x:c r="F873" s="18"/>
      <x:c r="G873" s="18" t="n">
        <x:v>-14473.49</x:v>
      </x:c>
      <x:c r="H873" s="18" t="n">
        <x:f>H872+G873</x:f>
        <x:v>8785844.670000002</x:v>
      </x:c>
    </x:row>
    <x:row r="874">
      <x:c r="A874" s="20" t="n">
        <x:v>46181</x:v>
      </x:c>
      <x:c r="B874" s="21" t="str">
        <x:v>CHK0027935</x:v>
      </x:c>
      <x:c r="C874" s="21" t="str">
        <x:v>CHECK PAYMENT - Hester Ltd - DP-2026-027935</x:v>
      </x:c>
      <x:c r="D874" s="21" t="str">
        <x:v>Supplier payment</x:v>
      </x:c>
      <x:c r="E874" s="18" t="n">
        <x:v>9355.63</x:v>
      </x:c>
      <x:c r="F874" s="18"/>
      <x:c r="G874" s="18" t="n">
        <x:v>-9355.63</x:v>
      </x:c>
      <x:c r="H874" s="18" t="n">
        <x:f>H873+G874</x:f>
        <x:v>8776489.040000001</x:v>
      </x:c>
    </x:row>
    <x:row r="875">
      <x:c r="A875" s="20" t="n">
        <x:v>46181</x:v>
      </x:c>
      <x:c r="B875" s="21" t="str">
        <x:v>CHK0027950</x:v>
      </x:c>
      <x:c r="C875" s="21" t="str">
        <x:v>CHECK PAYMENT - Hoffman LLC - DP-2026-027950</x:v>
      </x:c>
      <x:c r="D875" s="21" t="str">
        <x:v>Supplier payment</x:v>
      </x:c>
      <x:c r="E875" s="18" t="n">
        <x:v>547.06</x:v>
      </x:c>
      <x:c r="F875" s="18"/>
      <x:c r="G875" s="18" t="n">
        <x:v>-547.06</x:v>
      </x:c>
      <x:c r="H875" s="18" t="n">
        <x:f>H874+G875</x:f>
        <x:v>8775941.98</x:v>
      </x:c>
    </x:row>
    <x:row r="876">
      <x:c r="A876" s="20" t="n">
        <x:v>46181</x:v>
      </x:c>
      <x:c r="B876" s="21" t="str">
        <x:v>CHK0027957</x:v>
      </x:c>
      <x:c r="C876" s="21" t="str">
        <x:v>CHECK PAYMENT - Bell, Pruitt and David - DP-2026-027957</x:v>
      </x:c>
      <x:c r="D876" s="21" t="str">
        <x:v>Supplier payment</x:v>
      </x:c>
      <x:c r="E876" s="18" t="n">
        <x:v>107.86</x:v>
      </x:c>
      <x:c r="F876" s="18"/>
      <x:c r="G876" s="18" t="n">
        <x:v>-107.86</x:v>
      </x:c>
      <x:c r="H876" s="18" t="n">
        <x:f>H875+G876</x:f>
        <x:v>8775834.120000001</x:v>
      </x:c>
    </x:row>
    <x:row r="877">
      <x:c r="A877" s="20" t="n">
        <x:v>46181</x:v>
      </x:c>
      <x:c r="B877" s="21" t="str">
        <x:v>CHK0027970</x:v>
      </x:c>
      <x:c r="C877" s="21" t="str">
        <x:v>CHECK PAYMENT - Lindsey and Sons - DP-2026-027970</x:v>
      </x:c>
      <x:c r="D877" s="21" t="str">
        <x:v>Supplier payment</x:v>
      </x:c>
      <x:c r="E877" s="18" t="n">
        <x:v>136.63</x:v>
      </x:c>
      <x:c r="F877" s="18"/>
      <x:c r="G877" s="18" t="n">
        <x:v>-136.63</x:v>
      </x:c>
      <x:c r="H877" s="18" t="n">
        <x:f>H876+G877</x:f>
        <x:v>8775697.49</x:v>
      </x:c>
    </x:row>
    <x:row r="878">
      <x:c r="A878" s="20" t="n">
        <x:v>46181</x:v>
      </x:c>
      <x:c r="B878" s="21" t="str">
        <x:v>CHK0027972</x:v>
      </x:c>
      <x:c r="C878" s="21" t="str">
        <x:v>CHECK PAYMENT - Berger, Stanley and Cooper - DP-2026-027972</x:v>
      </x:c>
      <x:c r="D878" s="21" t="str">
        <x:v>Supplier payment</x:v>
      </x:c>
      <x:c r="E878" s="18" t="n">
        <x:v>1243.14</x:v>
      </x:c>
      <x:c r="F878" s="18"/>
      <x:c r="G878" s="18" t="n">
        <x:v>-1243.14</x:v>
      </x:c>
      <x:c r="H878" s="18" t="n">
        <x:f>H877+G878</x:f>
        <x:v>8774454.35</x:v>
      </x:c>
    </x:row>
    <x:row r="879">
      <x:c r="A879" s="20" t="n">
        <x:v>46181</x:v>
      </x:c>
      <x:c r="B879" s="21" t="str">
        <x:v>CHK0028026</x:v>
      </x:c>
      <x:c r="C879" s="21" t="str">
        <x:v>CHECK PAYMENT - Collins-Johnson - DP-2026-028026</x:v>
      </x:c>
      <x:c r="D879" s="21" t="str">
        <x:v>Supplier payment</x:v>
      </x:c>
      <x:c r="E879" s="18" t="n">
        <x:v>1504.72</x:v>
      </x:c>
      <x:c r="F879" s="18"/>
      <x:c r="G879" s="18" t="n">
        <x:v>-1504.72</x:v>
      </x:c>
      <x:c r="H879" s="18" t="n">
        <x:f>H878+G879</x:f>
        <x:v>8772949.629999999</x:v>
      </x:c>
    </x:row>
    <x:row r="880">
      <x:c r="A880" s="20" t="n">
        <x:v>46181</x:v>
      </x:c>
      <x:c r="B880" s="21" t="str">
        <x:v>DEP00005921</x:v>
      </x:c>
      <x:c r="C880" s="21" t="str">
        <x:v>CUSTOMER DEPOSIT - Thompson LLC - CR-2026-005921</x:v>
      </x:c>
      <x:c r="D880" s="21" t="str">
        <x:v>Customer deposit</x:v>
      </x:c>
      <x:c r="E880" s="18"/>
      <x:c r="F880" s="18" t="n">
        <x:v>2697.47</x:v>
      </x:c>
      <x:c r="G880" s="18" t="n">
        <x:v>2697.47</x:v>
      </x:c>
      <x:c r="H880" s="18" t="n">
        <x:f>H879+G880</x:f>
        <x:v>8775647.1</x:v>
      </x:c>
    </x:row>
    <x:row r="881">
      <x:c r="A881" s="20" t="n">
        <x:v>46181</x:v>
      </x:c>
      <x:c r="B881" s="21" t="str">
        <x:v>DP-2026-025598</x:v>
      </x:c>
      <x:c r="C881" s="21" t="str">
        <x:v>ACH PAYMENT - Brooks, Johnson and Olson - DP-2026-025598</x:v>
      </x:c>
      <x:c r="D881" s="21" t="str">
        <x:v>Supplier payment</x:v>
      </x:c>
      <x:c r="E881" s="18" t="n">
        <x:v>241.37</x:v>
      </x:c>
      <x:c r="F881" s="18"/>
      <x:c r="G881" s="18" t="n">
        <x:v>-241.37</x:v>
      </x:c>
      <x:c r="H881" s="18" t="n">
        <x:f>H880+G881</x:f>
        <x:v>8775405.73</x:v>
      </x:c>
    </x:row>
    <x:row r="882">
      <x:c r="A882" s="20" t="n">
        <x:v>46181</x:v>
      </x:c>
      <x:c r="B882" s="21" t="str">
        <x:v>DP-2026-025603</x:v>
      </x:c>
      <x:c r="C882" s="21" t="str">
        <x:v>ACH PAYMENT - Brooks, Johnson and Olson - DP-2026-025603</x:v>
      </x:c>
      <x:c r="D882" s="21" t="str">
        <x:v>Supplier payment</x:v>
      </x:c>
      <x:c r="E882" s="18" t="n">
        <x:v>253.41</x:v>
      </x:c>
      <x:c r="F882" s="18"/>
      <x:c r="G882" s="18" t="n">
        <x:v>-253.41</x:v>
      </x:c>
      <x:c r="H882" s="18" t="n">
        <x:f>H881+G882</x:f>
        <x:v>8775152.32</x:v>
      </x:c>
    </x:row>
    <x:row r="883">
      <x:c r="A883" s="20" t="n">
        <x:v>46181</x:v>
      </x:c>
      <x:c r="B883" s="21" t="str">
        <x:v>DP-2026-025604</x:v>
      </x:c>
      <x:c r="C883" s="21" t="str">
        <x:v>ACH PAYMENT - Coffey Group - DP-2026-025604</x:v>
      </x:c>
      <x:c r="D883" s="21" t="str">
        <x:v>Supplier payment</x:v>
      </x:c>
      <x:c r="E883" s="18" t="n">
        <x:v>6150.24</x:v>
      </x:c>
      <x:c r="F883" s="18"/>
      <x:c r="G883" s="18" t="n">
        <x:v>-6150.24</x:v>
      </x:c>
      <x:c r="H883" s="18" t="n">
        <x:f>H882+G883</x:f>
        <x:v>8769002.08</x:v>
      </x:c>
    </x:row>
    <x:row r="884">
      <x:c r="A884" s="20" t="n">
        <x:v>46181</x:v>
      </x:c>
      <x:c r="B884" s="21" t="str">
        <x:v>DP-2026-025606</x:v>
      </x:c>
      <x:c r="C884" s="21" t="str">
        <x:v>ACH PAYMENT - Harris, Taylor and Perkins - DP-2026-025606</x:v>
      </x:c>
      <x:c r="D884" s="21" t="str">
        <x:v>Supplier payment</x:v>
      </x:c>
      <x:c r="E884" s="18" t="n">
        <x:v>77.73</x:v>
      </x:c>
      <x:c r="F884" s="18"/>
      <x:c r="G884" s="18" t="n">
        <x:v>-77.73</x:v>
      </x:c>
      <x:c r="H884" s="18" t="n">
        <x:f>H883+G884</x:f>
        <x:v>8768924.35</x:v>
      </x:c>
    </x:row>
    <x:row r="885">
      <x:c r="A885" s="20" t="n">
        <x:v>46181</x:v>
      </x:c>
      <x:c r="B885" s="21" t="str">
        <x:v>DP-2026-027098</x:v>
      </x:c>
      <x:c r="C885" s="21" t="str">
        <x:v>WIRE TRANSFER PAYMENT - Whitaker-Edwards - DP-2026-027098</x:v>
      </x:c>
      <x:c r="D885" s="21" t="str">
        <x:v>Supplier payment</x:v>
      </x:c>
      <x:c r="E885" s="18" t="n">
        <x:v>1752.46</x:v>
      </x:c>
      <x:c r="F885" s="18"/>
      <x:c r="G885" s="18" t="n">
        <x:v>-1752.46</x:v>
      </x:c>
      <x:c r="H885" s="18" t="n">
        <x:f>H884+G885</x:f>
        <x:v>8767171.889999999</x:v>
      </x:c>
    </x:row>
    <x:row r="886">
      <x:c r="A886" s="20" t="n">
        <x:v>46181</x:v>
      </x:c>
      <x:c r="B886" s="21" t="str">
        <x:v>DP-2026-027099</x:v>
      </x:c>
      <x:c r="C886" s="21" t="str">
        <x:v>ACH PAYMENT - Nash LLC - DP-2026-027099</x:v>
      </x:c>
      <x:c r="D886" s="21" t="str">
        <x:v>Supplier payment</x:v>
      </x:c>
      <x:c r="E886" s="18" t="n">
        <x:v>7130.05</x:v>
      </x:c>
      <x:c r="F886" s="18"/>
      <x:c r="G886" s="18" t="n">
        <x:v>-7130.05</x:v>
      </x:c>
      <x:c r="H886" s="18" t="n">
        <x:f>H885+G886</x:f>
        <x:v>8760041.839999998</x:v>
      </x:c>
    </x:row>
    <x:row r="887">
      <x:c r="A887" s="20" t="n">
        <x:v>46181</x:v>
      </x:c>
      <x:c r="B887" s="21" t="str">
        <x:v>DP-2026-027101</x:v>
      </x:c>
      <x:c r="C887" s="21" t="str">
        <x:v>ACH PAYMENT - Hernandez, Melendez and Mcdowell - DP-2026-027101</x:v>
      </x:c>
      <x:c r="D887" s="21" t="str">
        <x:v>Supplier payment</x:v>
      </x:c>
      <x:c r="E887" s="18" t="n">
        <x:v>1343.26</x:v>
      </x:c>
      <x:c r="F887" s="18"/>
      <x:c r="G887" s="18" t="n">
        <x:v>-1343.26</x:v>
      </x:c>
      <x:c r="H887" s="18" t="n">
        <x:f>H886+G887</x:f>
        <x:v>8758698.579999998</x:v>
      </x:c>
    </x:row>
    <x:row r="888">
      <x:c r="A888" s="20" t="n">
        <x:v>46181</x:v>
      </x:c>
      <x:c r="B888" s="21" t="str">
        <x:v>DP-2026-027110</x:v>
      </x:c>
      <x:c r="C888" s="21" t="str">
        <x:v>ACH PAYMENT - Whitaker-Edwards - DP-2026-027110</x:v>
      </x:c>
      <x:c r="D888" s="21" t="str">
        <x:v>Supplier payment</x:v>
      </x:c>
      <x:c r="E888" s="18" t="n">
        <x:v>500.11</x:v>
      </x:c>
      <x:c r="F888" s="18"/>
      <x:c r="G888" s="18" t="n">
        <x:v>-500.11</x:v>
      </x:c>
      <x:c r="H888" s="18" t="n">
        <x:f>H887+G888</x:f>
        <x:v>8758198.469999999</x:v>
      </x:c>
    </x:row>
    <x:row r="889">
      <x:c r="A889" s="20" t="n">
        <x:v>46181</x:v>
      </x:c>
      <x:c r="B889" s="21" t="str">
        <x:v>DP-2026-027115</x:v>
      </x:c>
      <x:c r="C889" s="21" t="str">
        <x:v>ACH PAYMENT - Diaz Group - DP-2026-027115</x:v>
      </x:c>
      <x:c r="D889" s="21" t="str">
        <x:v>Supplier payment</x:v>
      </x:c>
      <x:c r="E889" s="18" t="n">
        <x:v>136.21</x:v>
      </x:c>
      <x:c r="F889" s="18"/>
      <x:c r="G889" s="18" t="n">
        <x:v>-136.21</x:v>
      </x:c>
      <x:c r="H889" s="18" t="n">
        <x:f>H888+G889</x:f>
        <x:v>8758062.259999998</x:v>
      </x:c>
    </x:row>
    <x:row r="890">
      <x:c r="A890" s="20" t="n">
        <x:v>46181</x:v>
      </x:c>
      <x:c r="B890" s="21" t="str">
        <x:v>DP-2026-027828</x:v>
      </x:c>
      <x:c r="C890" s="21" t="str">
        <x:v>ACH PAYMENT - Nguyen-Davis - DP-2026-027828</x:v>
      </x:c>
      <x:c r="D890" s="21" t="str">
        <x:v>Supplier payment</x:v>
      </x:c>
      <x:c r="E890" s="18" t="n">
        <x:v>355.11</x:v>
      </x:c>
      <x:c r="F890" s="18"/>
      <x:c r="G890" s="18" t="n">
        <x:v>-355.11</x:v>
      </x:c>
      <x:c r="H890" s="18" t="n">
        <x:f>H889+G890</x:f>
        <x:v>8757707.149999999</x:v>
      </x:c>
    </x:row>
    <x:row r="891">
      <x:c r="A891" s="20" t="n">
        <x:v>46181</x:v>
      </x:c>
      <x:c r="B891" s="21" t="str">
        <x:v>DP-2026-027862</x:v>
      </x:c>
      <x:c r="C891" s="21" t="str">
        <x:v>ACH PAYMENT - Rodriguez, Myers and Grimes - DP-2026-027862</x:v>
      </x:c>
      <x:c r="D891" s="21" t="str">
        <x:v>Supplier payment</x:v>
      </x:c>
      <x:c r="E891" s="18" t="n">
        <x:v>417.22</x:v>
      </x:c>
      <x:c r="F891" s="18"/>
      <x:c r="G891" s="18" t="n">
        <x:v>-417.22</x:v>
      </x:c>
      <x:c r="H891" s="18" t="n">
        <x:f>H890+G891</x:f>
        <x:v>8757289.929999998</x:v>
      </x:c>
    </x:row>
    <x:row r="892">
      <x:c r="A892" s="20" t="n">
        <x:v>46181</x:v>
      </x:c>
      <x:c r="B892" s="21" t="str">
        <x:v>DP-2026-027866</x:v>
      </x:c>
      <x:c r="C892" s="21" t="str">
        <x:v>ACH PAYMENT - Collins-Johnson - DP-2026-027866</x:v>
      </x:c>
      <x:c r="D892" s="21" t="str">
        <x:v>Supplier payment</x:v>
      </x:c>
      <x:c r="E892" s="18" t="n">
        <x:v>760.37</x:v>
      </x:c>
      <x:c r="F892" s="18"/>
      <x:c r="G892" s="18" t="n">
        <x:v>-760.37</x:v>
      </x:c>
      <x:c r="H892" s="18" t="n">
        <x:f>H891+G892</x:f>
        <x:v>8756529.559999999</x:v>
      </x:c>
    </x:row>
    <x:row r="893">
      <x:c r="A893" s="20" t="n">
        <x:v>46181</x:v>
      </x:c>
      <x:c r="B893" s="21" t="str">
        <x:v>DP-2026-027880</x:v>
      </x:c>
      <x:c r="C893" s="21" t="str">
        <x:v>ACH PAYMENT - Coffey Group - DP-2026-027880</x:v>
      </x:c>
      <x:c r="D893" s="21" t="str">
        <x:v>Supplier payment</x:v>
      </x:c>
      <x:c r="E893" s="18" t="n">
        <x:v>110.06</x:v>
      </x:c>
      <x:c r="F893" s="18"/>
      <x:c r="G893" s="18" t="n">
        <x:v>-110.06</x:v>
      </x:c>
      <x:c r="H893" s="18" t="n">
        <x:f>H892+G893</x:f>
        <x:v>8756419.499999998</x:v>
      </x:c>
    </x:row>
    <x:row r="894">
      <x:c r="A894" s="20" t="n">
        <x:v>46181</x:v>
      </x:c>
      <x:c r="B894" s="21" t="str">
        <x:v>DP-2026-027902</x:v>
      </x:c>
      <x:c r="C894" s="21" t="str">
        <x:v>ACH PAYMENT - Kaufman-Williams - DP-2026-027902</x:v>
      </x:c>
      <x:c r="D894" s="21" t="str">
        <x:v>Supplier payment</x:v>
      </x:c>
      <x:c r="E894" s="18" t="n">
        <x:v>941.12</x:v>
      </x:c>
      <x:c r="F894" s="18"/>
      <x:c r="G894" s="18" t="n">
        <x:v>-941.12</x:v>
      </x:c>
      <x:c r="H894" s="18" t="n">
        <x:f>H893+G894</x:f>
        <x:v>8755478.379999999</x:v>
      </x:c>
    </x:row>
    <x:row r="895">
      <x:c r="A895" s="20" t="n">
        <x:v>46181</x:v>
      </x:c>
      <x:c r="B895" s="21" t="str">
        <x:v>DP-2026-027911</x:v>
      </x:c>
      <x:c r="C895" s="21" t="str">
        <x:v>ACH PAYMENT - Hester Ltd - DP-2026-027911</x:v>
      </x:c>
      <x:c r="D895" s="21" t="str">
        <x:v>Supplier payment</x:v>
      </x:c>
      <x:c r="E895" s="18" t="n">
        <x:v>12.04</x:v>
      </x:c>
      <x:c r="F895" s="18"/>
      <x:c r="G895" s="18" t="n">
        <x:v>-12.04</x:v>
      </x:c>
      <x:c r="H895" s="18" t="n">
        <x:f>H894+G895</x:f>
        <x:v>8755466.34</x:v>
      </x:c>
    </x:row>
    <x:row r="896">
      <x:c r="A896" s="20" t="n">
        <x:v>46181</x:v>
      </x:c>
      <x:c r="B896" s="21" t="str">
        <x:v>DP-2026-027937</x:v>
      </x:c>
      <x:c r="C896" s="21" t="str">
        <x:v>WIRE TRANSFER PAYMENT - Bell, Pruitt and David - DP-2026-027937</x:v>
      </x:c>
      <x:c r="D896" s="21" t="str">
        <x:v>Supplier payment</x:v>
      </x:c>
      <x:c r="E896" s="18" t="n">
        <x:v>341.57</x:v>
      </x:c>
      <x:c r="F896" s="18"/>
      <x:c r="G896" s="18" t="n">
        <x:v>-341.57</x:v>
      </x:c>
      <x:c r="H896" s="18" t="n">
        <x:f>H895+G896</x:f>
        <x:v>8755124.77</x:v>
      </x:c>
    </x:row>
    <x:row r="897">
      <x:c r="A897" s="20" t="n">
        <x:v>46181</x:v>
      </x:c>
      <x:c r="B897" s="21" t="str">
        <x:v>DP-2026-027938</x:v>
      </x:c>
      <x:c r="C897" s="21" t="str">
        <x:v>ACH PAYMENT - Bailey, Gutierrez and Cameron - DP-2026-027938</x:v>
      </x:c>
      <x:c r="D897" s="21" t="str">
        <x:v>Supplier payment</x:v>
      </x:c>
      <x:c r="E897" s="18" t="n">
        <x:v>686.97</x:v>
      </x:c>
      <x:c r="F897" s="18"/>
      <x:c r="G897" s="18" t="n">
        <x:v>-686.97</x:v>
      </x:c>
      <x:c r="H897" s="18" t="n">
        <x:f>H896+G897</x:f>
        <x:v>8754437.799999999</x:v>
      </x:c>
    </x:row>
    <x:row r="898">
      <x:c r="A898" s="20" t="n">
        <x:v>46181</x:v>
      </x:c>
      <x:c r="B898" s="21" t="str">
        <x:v>DP-2026-027975</x:v>
      </x:c>
      <x:c r="C898" s="21" t="str">
        <x:v>ACH PAYMENT - Evans PLC - DP-2026-027975</x:v>
      </x:c>
      <x:c r="D898" s="21" t="str">
        <x:v>Supplier payment</x:v>
      </x:c>
      <x:c r="E898" s="18" t="n">
        <x:v>29930.13</x:v>
      </x:c>
      <x:c r="F898" s="18"/>
      <x:c r="G898" s="18" t="n">
        <x:v>-29930.13</x:v>
      </x:c>
      <x:c r="H898" s="18" t="n">
        <x:f>H897+G898</x:f>
        <x:v>8724507.669999998</x:v>
      </x:c>
    </x:row>
    <x:row r="899">
      <x:c r="A899" s="20" t="n">
        <x:v>46181</x:v>
      </x:c>
      <x:c r="B899" s="21" t="str">
        <x:v>DP-2026-027985</x:v>
      </x:c>
      <x:c r="C899" s="21" t="str">
        <x:v>ACH PAYMENT - Brooks, Johnson and Olson - DP-2026-027985</x:v>
      </x:c>
      <x:c r="D899" s="21" t="str">
        <x:v>Supplier payment</x:v>
      </x:c>
      <x:c r="E899" s="18" t="n">
        <x:v>340.2</x:v>
      </x:c>
      <x:c r="F899" s="18"/>
      <x:c r="G899" s="18" t="n">
        <x:v>-340.2</x:v>
      </x:c>
      <x:c r="H899" s="18" t="n">
        <x:f>H898+G899</x:f>
        <x:v>8724167.469999999</x:v>
      </x:c>
    </x:row>
    <x:row r="900">
      <x:c r="A900" s="20" t="n">
        <x:v>46181</x:v>
      </x:c>
      <x:c r="B900" s="21" t="str">
        <x:v>DP-2026-027997</x:v>
      </x:c>
      <x:c r="C900" s="21" t="str">
        <x:v>ACH PAYMENT - Hester Ltd - DP-2026-027997</x:v>
      </x:c>
      <x:c r="D900" s="21" t="str">
        <x:v>Supplier payment</x:v>
      </x:c>
      <x:c r="E900" s="18" t="n">
        <x:v>681.95</x:v>
      </x:c>
      <x:c r="F900" s="18"/>
      <x:c r="G900" s="18" t="n">
        <x:v>-681.95</x:v>
      </x:c>
      <x:c r="H900" s="18" t="n">
        <x:f>H899+G900</x:f>
        <x:v>8723485.52</x:v>
      </x:c>
    </x:row>
    <x:row r="901">
      <x:c r="A901" s="20" t="n">
        <x:v>46181</x:v>
      </x:c>
      <x:c r="B901" s="21" t="str">
        <x:v>DP-2026-028004</x:v>
      </x:c>
      <x:c r="C901" s="21" t="str">
        <x:v>ACH PAYMENT - Hester Ltd - DP-2026-028004</x:v>
      </x:c>
      <x:c r="D901" s="21" t="str">
        <x:v>Supplier payment</x:v>
      </x:c>
      <x:c r="E901" s="18" t="n">
        <x:v>1831.88</x:v>
      </x:c>
      <x:c r="F901" s="18"/>
      <x:c r="G901" s="18" t="n">
        <x:v>-1831.88</x:v>
      </x:c>
      <x:c r="H901" s="18" t="n">
        <x:f>H900+G901</x:f>
        <x:v>8721653.639999999</x:v>
      </x:c>
    </x:row>
    <x:row r="902">
      <x:c r="A902" s="20" t="n">
        <x:v>46181</x:v>
      </x:c>
      <x:c r="B902" s="21" t="str">
        <x:v>DP-2026-028031</x:v>
      </x:c>
      <x:c r="C902" s="21" t="str">
        <x:v>WIRE TRANSFER PAYMENT - Brooks, Johnson and Olson - DP-2026-028031</x:v>
      </x:c>
      <x:c r="D902" s="21" t="str">
        <x:v>Supplier payment</x:v>
      </x:c>
      <x:c r="E902" s="18" t="n">
        <x:v>564.71</x:v>
      </x:c>
      <x:c r="F902" s="18"/>
      <x:c r="G902" s="18" t="n">
        <x:v>-564.71</x:v>
      </x:c>
      <x:c r="H902" s="18" t="n">
        <x:f>H901+G902</x:f>
        <x:v>8721088.929999998</x:v>
      </x:c>
    </x:row>
    <x:row r="903">
      <x:c r="A903" s="20" t="n">
        <x:v>46181</x:v>
      </x:c>
      <x:c r="B903" s="21" t="str">
        <x:v>DP-2026-028054</x:v>
      </x:c>
      <x:c r="C903" s="21" t="str">
        <x:v>ACH PAYMENT - Keith PLC - DP-2026-028054</x:v>
      </x:c>
      <x:c r="D903" s="21" t="str">
        <x:v>Supplier payment</x:v>
      </x:c>
      <x:c r="E903" s="18" t="n">
        <x:v>1691.69</x:v>
      </x:c>
      <x:c r="F903" s="18"/>
      <x:c r="G903" s="18" t="n">
        <x:v>-1691.69</x:v>
      </x:c>
      <x:c r="H903" s="18" t="n">
        <x:f>H902+G903</x:f>
        <x:v>8719397.239999998</x:v>
      </x:c>
    </x:row>
    <x:row r="904">
      <x:c r="A904" s="20" t="n">
        <x:v>46181</x:v>
      </x:c>
      <x:c r="B904" s="21" t="str">
        <x:v>DP-2026-028088</x:v>
      </x:c>
      <x:c r="C904" s="21" t="str">
        <x:v>WIRE TRANSFER PAYMENT - Gay, Clark and Hickman - DP-2026-028088</x:v>
      </x:c>
      <x:c r="D904" s="21" t="str">
        <x:v>Supplier payment</x:v>
      </x:c>
      <x:c r="E904" s="18" t="n">
        <x:v>786.21</x:v>
      </x:c>
      <x:c r="F904" s="18"/>
      <x:c r="G904" s="18" t="n">
        <x:v>-786.21</x:v>
      </x:c>
      <x:c r="H904" s="18" t="n">
        <x:f>H903+G904</x:f>
        <x:v>8718611.029999997</x:v>
      </x:c>
    </x:row>
    <x:row r="905">
      <x:c r="A905" s="20" t="n">
        <x:v>46181</x:v>
      </x:c>
      <x:c r="B905" s="21" t="str">
        <x:v>DP-2026-028092</x:v>
      </x:c>
      <x:c r="C905" s="21" t="str">
        <x:v>ACH PAYMENT - Lindsey and Sons - DP-2026-028092</x:v>
      </x:c>
      <x:c r="D905" s="21" t="str">
        <x:v>Supplier payment</x:v>
      </x:c>
      <x:c r="E905" s="18" t="n">
        <x:v>6.76</x:v>
      </x:c>
      <x:c r="F905" s="18"/>
      <x:c r="G905" s="18" t="n">
        <x:v>-6.76</x:v>
      </x:c>
      <x:c r="H905" s="18" t="n">
        <x:f>H904+G905</x:f>
        <x:v>8718604.269999998</x:v>
      </x:c>
    </x:row>
    <x:row r="906">
      <x:c r="A906" s="20" t="n">
        <x:v>46181</x:v>
      </x:c>
      <x:c r="B906" s="21" t="str">
        <x:v>DP-2026-028105</x:v>
      </x:c>
      <x:c r="C906" s="21" t="str">
        <x:v>ACH PAYMENT - Hoffman LLC - DP-2026-028105</x:v>
      </x:c>
      <x:c r="D906" s="21" t="str">
        <x:v>Supplier payment</x:v>
      </x:c>
      <x:c r="E906" s="18" t="n">
        <x:v>498.95</x:v>
      </x:c>
      <x:c r="F906" s="18"/>
      <x:c r="G906" s="18" t="n">
        <x:v>-498.95</x:v>
      </x:c>
      <x:c r="H906" s="18" t="n">
        <x:f>H905+G906</x:f>
        <x:v>8718105.319999998</x:v>
      </x:c>
    </x:row>
    <x:row r="907">
      <x:c r="A907" s="20" t="n">
        <x:v>46181</x:v>
      </x:c>
      <x:c r="B907" s="21" t="str">
        <x:v>DP-2026-028127</x:v>
      </x:c>
      <x:c r="C907" s="21" t="str">
        <x:v>WIRE TRANSFER PAYMENT - Hester Ltd - DP-2026-028127</x:v>
      </x:c>
      <x:c r="D907" s="21" t="str">
        <x:v>Supplier payment</x:v>
      </x:c>
      <x:c r="E907" s="18" t="n">
        <x:v>3148.06</x:v>
      </x:c>
      <x:c r="F907" s="18"/>
      <x:c r="G907" s="18" t="n">
        <x:v>-3148.06</x:v>
      </x:c>
      <x:c r="H907" s="18" t="n">
        <x:f>H906+G907</x:f>
        <x:v>8714957.259999998</x:v>
      </x:c>
    </x:row>
    <x:row r="908">
      <x:c r="A908" s="20" t="n">
        <x:v>46181</x:v>
      </x:c>
      <x:c r="B908" s="21" t="str">
        <x:v>DP-2026-028138</x:v>
      </x:c>
      <x:c r="C908" s="21" t="str">
        <x:v>ACH PAYMENT - Velasquez-Baxter - DP-2026-028138</x:v>
      </x:c>
      <x:c r="D908" s="21" t="str">
        <x:v>Supplier payment</x:v>
      </x:c>
      <x:c r="E908" s="18" t="n">
        <x:v>1254.7</x:v>
      </x:c>
      <x:c r="F908" s="18"/>
      <x:c r="G908" s="18" t="n">
        <x:v>-1254.7</x:v>
      </x:c>
      <x:c r="H908" s="18" t="n">
        <x:f>H907+G908</x:f>
        <x:v>8713702.559999999</x:v>
      </x:c>
    </x:row>
    <x:row r="909">
      <x:c r="A909" s="20" t="n">
        <x:v>46181</x:v>
      </x:c>
      <x:c r="B909" s="21" t="str">
        <x:v>PRPAY-2026-006594</x:v>
      </x:c>
      <x:c r="C909" s="21" t="str">
        <x:v>PAYROLL DIRECT DEPOSIT - PRPAY-2026-006594</x:v>
      </x:c>
      <x:c r="D909" s="21" t="str">
        <x:v>Payroll</x:v>
      </x:c>
      <x:c r="E909" s="18" t="n">
        <x:v>7971.1</x:v>
      </x:c>
      <x:c r="F909" s="18"/>
      <x:c r="G909" s="18" t="n">
        <x:v>-7971.1</x:v>
      </x:c>
      <x:c r="H909" s="18" t="n">
        <x:f>H908+G909</x:f>
        <x:v>8705731.459999999</x:v>
      </x:c>
    </x:row>
    <x:row r="910">
      <x:c r="A910" s="20" t="n">
        <x:v>46181</x:v>
      </x:c>
      <x:c r="B910" s="21" t="str">
        <x:v>PRPAY-2026-006595</x:v>
      </x:c>
      <x:c r="C910" s="21" t="str">
        <x:v>PAYROLL DIRECT DEPOSIT - PRPAY-2026-006595</x:v>
      </x:c>
      <x:c r="D910" s="21" t="str">
        <x:v>Payroll</x:v>
      </x:c>
      <x:c r="E910" s="18" t="n">
        <x:v>7699.73</x:v>
      </x:c>
      <x:c r="F910" s="18"/>
      <x:c r="G910" s="18" t="n">
        <x:v>-7699.73</x:v>
      </x:c>
      <x:c r="H910" s="18" t="n">
        <x:f>H909+G910</x:f>
        <x:v>8698031.729999999</x:v>
      </x:c>
    </x:row>
    <x:row r="911">
      <x:c r="A911" s="20" t="n">
        <x:v>46181</x:v>
      </x:c>
      <x:c r="B911" s="21" t="str">
        <x:v>PRPAY-2026-006596</x:v>
      </x:c>
      <x:c r="C911" s="21" t="str">
        <x:v>PAYROLL DIRECT DEPOSIT - PRPAY-2026-006596</x:v>
      </x:c>
      <x:c r="D911" s="21" t="str">
        <x:v>Payroll</x:v>
      </x:c>
      <x:c r="E911" s="18" t="n">
        <x:v>7818.47</x:v>
      </x:c>
      <x:c r="F911" s="18"/>
      <x:c r="G911" s="18" t="n">
        <x:v>-7818.47</x:v>
      </x:c>
      <x:c r="H911" s="18" t="n">
        <x:f>H910+G911</x:f>
        <x:v>8690213.259999998</x:v>
      </x:c>
    </x:row>
    <x:row r="912">
      <x:c r="A912" s="20" t="n">
        <x:v>46181</x:v>
      </x:c>
      <x:c r="B912" s="21" t="str">
        <x:v>PRPAY-2026-006597</x:v>
      </x:c>
      <x:c r="C912" s="21" t="str">
        <x:v>PAYROLL DIRECT DEPOSIT - PRPAY-2026-006597</x:v>
      </x:c>
      <x:c r="D912" s="21" t="str">
        <x:v>Payroll</x:v>
      </x:c>
      <x:c r="E912" s="18" t="n">
        <x:v>3641.72</x:v>
      </x:c>
      <x:c r="F912" s="18"/>
      <x:c r="G912" s="18" t="n">
        <x:v>-3641.72</x:v>
      </x:c>
      <x:c r="H912" s="18" t="n">
        <x:f>H911+G912</x:f>
        <x:v>8686571.539999997</x:v>
      </x:c>
    </x:row>
    <x:row r="913">
      <x:c r="A913" s="20" t="n">
        <x:v>46181</x:v>
      </x:c>
      <x:c r="B913" s="21" t="str">
        <x:v>PRPAY-2026-006598</x:v>
      </x:c>
      <x:c r="C913" s="21" t="str">
        <x:v>PAYROLL DIRECT DEPOSIT - PRPAY-2026-006598</x:v>
      </x:c>
      <x:c r="D913" s="21" t="str">
        <x:v>Payroll</x:v>
      </x:c>
      <x:c r="E913" s="18" t="n">
        <x:v>3670.73</x:v>
      </x:c>
      <x:c r="F913" s="18"/>
      <x:c r="G913" s="18" t="n">
        <x:v>-3670.73</x:v>
      </x:c>
      <x:c r="H913" s="18" t="n">
        <x:f>H912+G913</x:f>
        <x:v>8682900.809999997</x:v>
      </x:c>
    </x:row>
    <x:row r="914">
      <x:c r="A914" s="20" t="n">
        <x:v>46181</x:v>
      </x:c>
      <x:c r="B914" s="21" t="str">
        <x:v>PRPAY-2026-006599</x:v>
      </x:c>
      <x:c r="C914" s="21" t="str">
        <x:v>PAYROLL DIRECT DEPOSIT - PRPAY-2026-006599</x:v>
      </x:c>
      <x:c r="D914" s="21" t="str">
        <x:v>Payroll</x:v>
      </x:c>
      <x:c r="E914" s="18" t="n">
        <x:v>3774.51</x:v>
      </x:c>
      <x:c r="F914" s="18"/>
      <x:c r="G914" s="18" t="n">
        <x:v>-3774.51</x:v>
      </x:c>
      <x:c r="H914" s="18" t="n">
        <x:f>H913+G914</x:f>
        <x:v>8679126.299999997</x:v>
      </x:c>
    </x:row>
    <x:row r="915">
      <x:c r="A915" s="20" t="n">
        <x:v>46181</x:v>
      </x:c>
      <x:c r="B915" s="21" t="str">
        <x:v>PRPAY-2026-006600</x:v>
      </x:c>
      <x:c r="C915" s="21" t="str">
        <x:v>PAYROLL DIRECT DEPOSIT - PRPAY-2026-006600</x:v>
      </x:c>
      <x:c r="D915" s="21" t="str">
        <x:v>Payroll</x:v>
      </x:c>
      <x:c r="E915" s="18" t="n">
        <x:v>3195.09</x:v>
      </x:c>
      <x:c r="F915" s="18"/>
      <x:c r="G915" s="18" t="n">
        <x:v>-3195.09</x:v>
      </x:c>
      <x:c r="H915" s="18" t="n">
        <x:f>H914+G915</x:f>
        <x:v>8675931.209999997</x:v>
      </x:c>
    </x:row>
    <x:row r="916">
      <x:c r="A916" s="20" t="n">
        <x:v>46181</x:v>
      </x:c>
      <x:c r="B916" s="21" t="str">
        <x:v>PRPAY-2026-006601</x:v>
      </x:c>
      <x:c r="C916" s="21" t="str">
        <x:v>PAYROLL DIRECT DEPOSIT - PRPAY-2026-006601</x:v>
      </x:c>
      <x:c r="D916" s="21" t="str">
        <x:v>Payroll</x:v>
      </x:c>
      <x:c r="E916" s="18" t="n">
        <x:v>2483.69</x:v>
      </x:c>
      <x:c r="F916" s="18"/>
      <x:c r="G916" s="18" t="n">
        <x:v>-2483.69</x:v>
      </x:c>
      <x:c r="H916" s="18" t="n">
        <x:f>H915+G916</x:f>
        <x:v>8673447.519999998</x:v>
      </x:c>
    </x:row>
    <x:row r="917">
      <x:c r="A917" s="20" t="n">
        <x:v>46181</x:v>
      </x:c>
      <x:c r="B917" s="21" t="str">
        <x:v>PRPAY-2026-006602</x:v>
      </x:c>
      <x:c r="C917" s="21" t="str">
        <x:v>PAYROLL DIRECT DEPOSIT - PRPAY-2026-006602</x:v>
      </x:c>
      <x:c r="D917" s="21" t="str">
        <x:v>Payroll</x:v>
      </x:c>
      <x:c r="E917" s="18" t="n">
        <x:v>2324.61</x:v>
      </x:c>
      <x:c r="F917" s="18"/>
      <x:c r="G917" s="18" t="n">
        <x:v>-2324.61</x:v>
      </x:c>
      <x:c r="H917" s="18" t="n">
        <x:f>H916+G917</x:f>
        <x:v>8671122.909999998</x:v>
      </x:c>
    </x:row>
    <x:row r="918">
      <x:c r="A918" s="20" t="n">
        <x:v>46181</x:v>
      </x:c>
      <x:c r="B918" s="21" t="str">
        <x:v>PRPAY-2026-006603</x:v>
      </x:c>
      <x:c r="C918" s="21" t="str">
        <x:v>PAYROLL DIRECT DEPOSIT - PRPAY-2026-006603</x:v>
      </x:c>
      <x:c r="D918" s="21" t="str">
        <x:v>Payroll</x:v>
      </x:c>
      <x:c r="E918" s="18" t="n">
        <x:v>3564.12</x:v>
      </x:c>
      <x:c r="F918" s="18"/>
      <x:c r="G918" s="18" t="n">
        <x:v>-3564.12</x:v>
      </x:c>
      <x:c r="H918" s="18" t="n">
        <x:f>H917+G918</x:f>
        <x:v>8667558.79</x:v>
      </x:c>
    </x:row>
    <x:row r="919">
      <x:c r="A919" s="20" t="n">
        <x:v>46181</x:v>
      </x:c>
      <x:c r="B919" s="21" t="str">
        <x:v>PRPAY-2026-006604</x:v>
      </x:c>
      <x:c r="C919" s="21" t="str">
        <x:v>PAYROLL DIRECT DEPOSIT - PRPAY-2026-006604</x:v>
      </x:c>
      <x:c r="D919" s="21" t="str">
        <x:v>Payroll</x:v>
      </x:c>
      <x:c r="E919" s="18" t="n">
        <x:v>3237.5</x:v>
      </x:c>
      <x:c r="F919" s="18"/>
      <x:c r="G919" s="18" t="n">
        <x:v>-3237.5</x:v>
      </x:c>
      <x:c r="H919" s="18" t="n">
        <x:f>H918+G919</x:f>
        <x:v>8664321.29</x:v>
      </x:c>
    </x:row>
    <x:row r="920">
      <x:c r="A920" s="20" t="n">
        <x:v>46181</x:v>
      </x:c>
      <x:c r="B920" s="21" t="str">
        <x:v>PRPAY-2026-006605</x:v>
      </x:c>
      <x:c r="C920" s="21" t="str">
        <x:v>PAYROLL DIRECT DEPOSIT - PRPAY-2026-006605</x:v>
      </x:c>
      <x:c r="D920" s="21" t="str">
        <x:v>Payroll</x:v>
      </x:c>
      <x:c r="E920" s="18" t="n">
        <x:v>4075.77</x:v>
      </x:c>
      <x:c r="F920" s="18"/>
      <x:c r="G920" s="18" t="n">
        <x:v>-4075.77</x:v>
      </x:c>
      <x:c r="H920" s="18" t="n">
        <x:f>H919+G920</x:f>
        <x:v>8660245.52</x:v>
      </x:c>
    </x:row>
    <x:row r="921">
      <x:c r="A921" s="20" t="n">
        <x:v>46181</x:v>
      </x:c>
      <x:c r="B921" s="21" t="str">
        <x:v>PRPAY-2026-006606</x:v>
      </x:c>
      <x:c r="C921" s="21" t="str">
        <x:v>PAYROLL DIRECT DEPOSIT - PRPAY-2026-006606</x:v>
      </x:c>
      <x:c r="D921" s="21" t="str">
        <x:v>Payroll</x:v>
      </x:c>
      <x:c r="E921" s="18" t="n">
        <x:v>1980.94</x:v>
      </x:c>
      <x:c r="F921" s="18"/>
      <x:c r="G921" s="18" t="n">
        <x:v>-1980.94</x:v>
      </x:c>
      <x:c r="H921" s="18" t="n">
        <x:f>H920+G921</x:f>
        <x:v>8658264.58</x:v>
      </x:c>
    </x:row>
    <x:row r="922">
      <x:c r="A922" s="20" t="n">
        <x:v>46181</x:v>
      </x:c>
      <x:c r="B922" s="21" t="str">
        <x:v>PRPAY-2026-006607</x:v>
      </x:c>
      <x:c r="C922" s="21" t="str">
        <x:v>PAYROLL DIRECT DEPOSIT - PRPAY-2026-006607</x:v>
      </x:c>
      <x:c r="D922" s="21" t="str">
        <x:v>Payroll</x:v>
      </x:c>
      <x:c r="E922" s="18" t="n">
        <x:v>3973.36</x:v>
      </x:c>
      <x:c r="F922" s="18"/>
      <x:c r="G922" s="18" t="n">
        <x:v>-3973.36</x:v>
      </x:c>
      <x:c r="H922" s="18" t="n">
        <x:f>H921+G922</x:f>
        <x:v>8654291.22</x:v>
      </x:c>
    </x:row>
    <x:row r="923">
      <x:c r="A923" s="20" t="n">
        <x:v>46181</x:v>
      </x:c>
      <x:c r="B923" s="21" t="str">
        <x:v>PRPAY-2026-006608</x:v>
      </x:c>
      <x:c r="C923" s="21" t="str">
        <x:v>PAYROLL DIRECT DEPOSIT - PRPAY-2026-006608</x:v>
      </x:c>
      <x:c r="D923" s="21" t="str">
        <x:v>Payroll</x:v>
      </x:c>
      <x:c r="E923" s="18" t="n">
        <x:v>1853.92</x:v>
      </x:c>
      <x:c r="F923" s="18"/>
      <x:c r="G923" s="18" t="n">
        <x:v>-1853.92</x:v>
      </x:c>
      <x:c r="H923" s="18" t="n">
        <x:f>H922+G923</x:f>
        <x:v>8652437.3</x:v>
      </x:c>
    </x:row>
    <x:row r="924">
      <x:c r="A924" s="20" t="n">
        <x:v>46181</x:v>
      </x:c>
      <x:c r="B924" s="21" t="str">
        <x:v>PRPAY-2026-006609</x:v>
      </x:c>
      <x:c r="C924" s="21" t="str">
        <x:v>PAYROLL DIRECT DEPOSIT - PRPAY-2026-006609</x:v>
      </x:c>
      <x:c r="D924" s="21" t="str">
        <x:v>Payroll</x:v>
      </x:c>
      <x:c r="E924" s="18" t="n">
        <x:v>1863.28</x:v>
      </x:c>
      <x:c r="F924" s="18"/>
      <x:c r="G924" s="18" t="n">
        <x:v>-1863.28</x:v>
      </x:c>
      <x:c r="H924" s="18" t="n">
        <x:f>H923+G924</x:f>
        <x:v>8650574.020000001</x:v>
      </x:c>
    </x:row>
    <x:row r="925">
      <x:c r="A925" s="20" t="n">
        <x:v>46181</x:v>
      </x:c>
      <x:c r="B925" s="21" t="str">
        <x:v>PRPAY-2026-006610</x:v>
      </x:c>
      <x:c r="C925" s="21" t="str">
        <x:v>PAYROLL DIRECT DEPOSIT - PRPAY-2026-006610</x:v>
      </x:c>
      <x:c r="D925" s="21" t="str">
        <x:v>Payroll</x:v>
      </x:c>
      <x:c r="E925" s="18" t="n">
        <x:v>1627.01</x:v>
      </x:c>
      <x:c r="F925" s="18"/>
      <x:c r="G925" s="18" t="n">
        <x:v>-1627.01</x:v>
      </x:c>
      <x:c r="H925" s="18" t="n">
        <x:f>H924+G925</x:f>
        <x:v>8648947.010000002</x:v>
      </x:c>
    </x:row>
    <x:row r="926">
      <x:c r="A926" s="20" t="n">
        <x:v>46181</x:v>
      </x:c>
      <x:c r="B926" s="21" t="str">
        <x:v>PRPAY-2026-006611</x:v>
      </x:c>
      <x:c r="C926" s="21" t="str">
        <x:v>PAYROLL DIRECT DEPOSIT - PRPAY-2026-006611</x:v>
      </x:c>
      <x:c r="D926" s="21" t="str">
        <x:v>Payroll</x:v>
      </x:c>
      <x:c r="E926" s="18" t="n">
        <x:v>786.79</x:v>
      </x:c>
      <x:c r="F926" s="18"/>
      <x:c r="G926" s="18" t="n">
        <x:v>-786.79</x:v>
      </x:c>
      <x:c r="H926" s="18" t="n">
        <x:f>H925+G926</x:f>
        <x:v>8648160.220000003</x:v>
      </x:c>
    </x:row>
    <x:row r="927">
      <x:c r="A927" s="20" t="n">
        <x:v>46181</x:v>
      </x:c>
      <x:c r="B927" s="21" t="str">
        <x:v>PRPAY-2026-006612</x:v>
      </x:c>
      <x:c r="C927" s="21" t="str">
        <x:v>PAYROLL DIRECT DEPOSIT - PRPAY-2026-006612</x:v>
      </x:c>
      <x:c r="D927" s="21" t="str">
        <x:v>Payroll</x:v>
      </x:c>
      <x:c r="E927" s="18" t="n">
        <x:v>838.21</x:v>
      </x:c>
      <x:c r="F927" s="18"/>
      <x:c r="G927" s="18" t="n">
        <x:v>-838.21</x:v>
      </x:c>
      <x:c r="H927" s="18" t="n">
        <x:f>H926+G927</x:f>
        <x:v>8647322.010000002</x:v>
      </x:c>
    </x:row>
    <x:row r="928">
      <x:c r="A928" s="20" t="n">
        <x:v>46181</x:v>
      </x:c>
      <x:c r="B928" s="21" t="str">
        <x:v>PRPAY-2026-006613</x:v>
      </x:c>
      <x:c r="C928" s="21" t="str">
        <x:v>PAYROLL DIRECT DEPOSIT - PRPAY-2026-006613</x:v>
      </x:c>
      <x:c r="D928" s="21" t="str">
        <x:v>Payroll</x:v>
      </x:c>
      <x:c r="E928" s="18" t="n">
        <x:v>1011.66</x:v>
      </x:c>
      <x:c r="F928" s="18"/>
      <x:c r="G928" s="18" t="n">
        <x:v>-1011.66</x:v>
      </x:c>
      <x:c r="H928" s="18" t="n">
        <x:f>H927+G928</x:f>
        <x:v>8646310.350000001</x:v>
      </x:c>
    </x:row>
    <x:row r="929">
      <x:c r="A929" s="20" t="n">
        <x:v>46181</x:v>
      </x:c>
      <x:c r="B929" s="21" t="str">
        <x:v>PRPAY-2026-006614</x:v>
      </x:c>
      <x:c r="C929" s="21" t="str">
        <x:v>PAYROLL DIRECT DEPOSIT - PRPAY-2026-006614</x:v>
      </x:c>
      <x:c r="D929" s="21" t="str">
        <x:v>Payroll</x:v>
      </x:c>
      <x:c r="E929" s="18" t="n">
        <x:v>766.73</x:v>
      </x:c>
      <x:c r="F929" s="18"/>
      <x:c r="G929" s="18" t="n">
        <x:v>-766.73</x:v>
      </x:c>
      <x:c r="H929" s="18" t="n">
        <x:f>H928+G929</x:f>
        <x:v>8645543.620000001</x:v>
      </x:c>
    </x:row>
    <x:row r="930">
      <x:c r="A930" s="20" t="n">
        <x:v>46181</x:v>
      </x:c>
      <x:c r="B930" s="21" t="str">
        <x:v>PRPAY-2026-006615</x:v>
      </x:c>
      <x:c r="C930" s="21" t="str">
        <x:v>PAYROLL DIRECT DEPOSIT - PRPAY-2026-006615</x:v>
      </x:c>
      <x:c r="D930" s="21" t="str">
        <x:v>Payroll</x:v>
      </x:c>
      <x:c r="E930" s="18" t="n">
        <x:v>1404.64</x:v>
      </x:c>
      <x:c r="F930" s="18"/>
      <x:c r="G930" s="18" t="n">
        <x:v>-1404.64</x:v>
      </x:c>
      <x:c r="H930" s="18" t="n">
        <x:f>H929+G930</x:f>
        <x:v>8644138.98</x:v>
      </x:c>
    </x:row>
    <x:row r="931">
      <x:c r="A931" s="20" t="n">
        <x:v>46181</x:v>
      </x:c>
      <x:c r="B931" s="21" t="str">
        <x:v>PRPAY-2026-006616</x:v>
      </x:c>
      <x:c r="C931" s="21" t="str">
        <x:v>PAYROLL DIRECT DEPOSIT - PRPAY-2026-006616</x:v>
      </x:c>
      <x:c r="D931" s="21" t="str">
        <x:v>Payroll</x:v>
      </x:c>
      <x:c r="E931" s="18" t="n">
        <x:v>671.81</x:v>
      </x:c>
      <x:c r="F931" s="18"/>
      <x:c r="G931" s="18" t="n">
        <x:v>-671.81</x:v>
      </x:c>
      <x:c r="H931" s="18" t="n">
        <x:f>H930+G931</x:f>
        <x:v>8643467.17</x:v>
      </x:c>
    </x:row>
    <x:row r="932">
      <x:c r="A932" s="20" t="n">
        <x:v>46181</x:v>
      </x:c>
      <x:c r="B932" s="21" t="str">
        <x:v>PRPAY-2026-006617</x:v>
      </x:c>
      <x:c r="C932" s="21" t="str">
        <x:v>PAYROLL DIRECT DEPOSIT - PRPAY-2026-006617</x:v>
      </x:c>
      <x:c r="D932" s="21" t="str">
        <x:v>Payroll</x:v>
      </x:c>
      <x:c r="E932" s="18" t="n">
        <x:v>1204.55</x:v>
      </x:c>
      <x:c r="F932" s="18"/>
      <x:c r="G932" s="18" t="n">
        <x:v>-1204.55</x:v>
      </x:c>
      <x:c r="H932" s="18" t="n">
        <x:f>H931+G932</x:f>
        <x:v>8642262.62</x:v>
      </x:c>
    </x:row>
    <x:row r="933">
      <x:c r="A933" s="20" t="n">
        <x:v>46181</x:v>
      </x:c>
      <x:c r="B933" s="21" t="str">
        <x:v>PRPAY-2026-006618</x:v>
      </x:c>
      <x:c r="C933" s="21" t="str">
        <x:v>PAYROLL DIRECT DEPOSIT - PRPAY-2026-006618</x:v>
      </x:c>
      <x:c r="D933" s="21" t="str">
        <x:v>Payroll</x:v>
      </x:c>
      <x:c r="E933" s="18" t="n">
        <x:v>862.48</x:v>
      </x:c>
      <x:c r="F933" s="18"/>
      <x:c r="G933" s="18" t="n">
        <x:v>-862.48</x:v>
      </x:c>
      <x:c r="H933" s="18" t="n">
        <x:f>H932+G933</x:f>
        <x:v>8641400.139999999</x:v>
      </x:c>
    </x:row>
    <x:row r="934">
      <x:c r="A934" s="20" t="n">
        <x:v>46181</x:v>
      </x:c>
      <x:c r="B934" s="21" t="str">
        <x:v>PRPAY-2026-006619</x:v>
      </x:c>
      <x:c r="C934" s="21" t="str">
        <x:v>PAYROLL DIRECT DEPOSIT - PRPAY-2026-006619</x:v>
      </x:c>
      <x:c r="D934" s="21" t="str">
        <x:v>Payroll</x:v>
      </x:c>
      <x:c r="E934" s="18" t="n">
        <x:v>949.77</x:v>
      </x:c>
      <x:c r="F934" s="18"/>
      <x:c r="G934" s="18" t="n">
        <x:v>-949.77</x:v>
      </x:c>
      <x:c r="H934" s="18" t="n">
        <x:f>H933+G934</x:f>
        <x:v>8640450.37</x:v>
      </x:c>
    </x:row>
    <x:row r="935">
      <x:c r="A935" s="20" t="n">
        <x:v>46181</x:v>
      </x:c>
      <x:c r="B935" s="21" t="str">
        <x:v>PRPAY-2026-006620</x:v>
      </x:c>
      <x:c r="C935" s="21" t="str">
        <x:v>PAYROLL DIRECT DEPOSIT - PRPAY-2026-006620</x:v>
      </x:c>
      <x:c r="D935" s="21" t="str">
        <x:v>Payroll</x:v>
      </x:c>
      <x:c r="E935" s="18" t="n">
        <x:v>825.27</x:v>
      </x:c>
      <x:c r="F935" s="18"/>
      <x:c r="G935" s="18" t="n">
        <x:v>-825.27</x:v>
      </x:c>
      <x:c r="H935" s="18" t="n">
        <x:f>H934+G935</x:f>
        <x:v>8639625.1</x:v>
      </x:c>
    </x:row>
    <x:row r="936">
      <x:c r="A936" s="20" t="n">
        <x:v>46181</x:v>
      </x:c>
      <x:c r="B936" s="21" t="str">
        <x:v>PRPAY-2026-006621</x:v>
      </x:c>
      <x:c r="C936" s="21" t="str">
        <x:v>PAYROLL DIRECT DEPOSIT - PRPAY-2026-006621</x:v>
      </x:c>
      <x:c r="D936" s="21" t="str">
        <x:v>Payroll</x:v>
      </x:c>
      <x:c r="E936" s="18" t="n">
        <x:v>1493.78</x:v>
      </x:c>
      <x:c r="F936" s="18"/>
      <x:c r="G936" s="18" t="n">
        <x:v>-1493.78</x:v>
      </x:c>
      <x:c r="H936" s="18" t="n">
        <x:f>H935+G936</x:f>
        <x:v>8638131.32</x:v>
      </x:c>
    </x:row>
    <x:row r="937">
      <x:c r="A937" s="20" t="n">
        <x:v>46181</x:v>
      </x:c>
      <x:c r="B937" s="21" t="str">
        <x:v>PRPAY-2026-006622</x:v>
      </x:c>
      <x:c r="C937" s="21" t="str">
        <x:v>PAYROLL DIRECT DEPOSIT - PRPAY-2026-006622</x:v>
      </x:c>
      <x:c r="D937" s="21" t="str">
        <x:v>Payroll</x:v>
      </x:c>
      <x:c r="E937" s="18" t="n">
        <x:v>1267.86</x:v>
      </x:c>
      <x:c r="F937" s="18"/>
      <x:c r="G937" s="18" t="n">
        <x:v>-1267.86</x:v>
      </x:c>
      <x:c r="H937" s="18" t="n">
        <x:f>H936+G937</x:f>
        <x:v>8636863.46</x:v>
      </x:c>
    </x:row>
    <x:row r="938">
      <x:c r="A938" s="20" t="n">
        <x:v>46181</x:v>
      </x:c>
      <x:c r="B938" s="21" t="str">
        <x:v>PRPAY-2026-006623</x:v>
      </x:c>
      <x:c r="C938" s="21" t="str">
        <x:v>PAYROLL DIRECT DEPOSIT - PRPAY-2026-006623</x:v>
      </x:c>
      <x:c r="D938" s="21" t="str">
        <x:v>Payroll</x:v>
      </x:c>
      <x:c r="E938" s="18" t="n">
        <x:v>708.39</x:v>
      </x:c>
      <x:c r="F938" s="18"/>
      <x:c r="G938" s="18" t="n">
        <x:v>-708.39</x:v>
      </x:c>
      <x:c r="H938" s="18" t="n">
        <x:f>H937+G938</x:f>
        <x:v>8636155.07</x:v>
      </x:c>
    </x:row>
    <x:row r="939">
      <x:c r="A939" s="20" t="n">
        <x:v>46181</x:v>
      </x:c>
      <x:c r="B939" s="21" t="str">
        <x:v>PRPAY-2026-006624</x:v>
      </x:c>
      <x:c r="C939" s="21" t="str">
        <x:v>PAYROLL DIRECT DEPOSIT - PRPAY-2026-006624</x:v>
      </x:c>
      <x:c r="D939" s="21" t="str">
        <x:v>Payroll</x:v>
      </x:c>
      <x:c r="E939" s="18" t="n">
        <x:v>1534.04</x:v>
      </x:c>
      <x:c r="F939" s="18"/>
      <x:c r="G939" s="18" t="n">
        <x:v>-1534.04</x:v>
      </x:c>
      <x:c r="H939" s="18" t="n">
        <x:f>H938+G939</x:f>
        <x:v>8634621.030000001</x:v>
      </x:c>
    </x:row>
    <x:row r="940">
      <x:c r="A940" s="20" t="n">
        <x:v>46181</x:v>
      </x:c>
      <x:c r="B940" s="21" t="str">
        <x:v>PRPAY-2026-006625</x:v>
      </x:c>
      <x:c r="C940" s="21" t="str">
        <x:v>PAYROLL DIRECT DEPOSIT - PRPAY-2026-006625</x:v>
      </x:c>
      <x:c r="D940" s="21" t="str">
        <x:v>Payroll</x:v>
      </x:c>
      <x:c r="E940" s="18" t="n">
        <x:v>1428.73</x:v>
      </x:c>
      <x:c r="F940" s="18"/>
      <x:c r="G940" s="18" t="n">
        <x:v>-1428.73</x:v>
      </x:c>
      <x:c r="H940" s="18" t="n">
        <x:f>H939+G940</x:f>
        <x:v>8633192.3</x:v>
      </x:c>
    </x:row>
    <x:row r="941">
      <x:c r="A941" s="20" t="n">
        <x:v>46181</x:v>
      </x:c>
      <x:c r="B941" s="21" t="str">
        <x:v>PRPAY-2026-006626</x:v>
      </x:c>
      <x:c r="C941" s="21" t="str">
        <x:v>PAYROLL DIRECT DEPOSIT - PRPAY-2026-006626</x:v>
      </x:c>
      <x:c r="D941" s="21" t="str">
        <x:v>Payroll</x:v>
      </x:c>
      <x:c r="E941" s="18" t="n">
        <x:v>1220.67</x:v>
      </x:c>
      <x:c r="F941" s="18"/>
      <x:c r="G941" s="18" t="n">
        <x:v>-1220.67</x:v>
      </x:c>
      <x:c r="H941" s="18" t="n">
        <x:f>H940+G941</x:f>
        <x:v>8631971.63</x:v>
      </x:c>
    </x:row>
    <x:row r="942">
      <x:c r="A942" s="20" t="n">
        <x:v>46181</x:v>
      </x:c>
      <x:c r="B942" s="21" t="str">
        <x:v>PRPAY-2026-006627</x:v>
      </x:c>
      <x:c r="C942" s="21" t="str">
        <x:v>PAYROLL DIRECT DEPOSIT - PRPAY-2026-006627</x:v>
      </x:c>
      <x:c r="D942" s="21" t="str">
        <x:v>Payroll</x:v>
      </x:c>
      <x:c r="E942" s="18" t="n">
        <x:v>1606.47</x:v>
      </x:c>
      <x:c r="F942" s="18"/>
      <x:c r="G942" s="18" t="n">
        <x:v>-1606.47</x:v>
      </x:c>
      <x:c r="H942" s="18" t="n">
        <x:f>H941+G942</x:f>
        <x:v>8630365.16</x:v>
      </x:c>
    </x:row>
    <x:row r="943">
      <x:c r="A943" s="20" t="n">
        <x:v>46181</x:v>
      </x:c>
      <x:c r="B943" s="21" t="str">
        <x:v>PRPAY-2026-006628</x:v>
      </x:c>
      <x:c r="C943" s="21" t="str">
        <x:v>PAYROLL DIRECT DEPOSIT - PRPAY-2026-006628</x:v>
      </x:c>
      <x:c r="D943" s="21" t="str">
        <x:v>Payroll</x:v>
      </x:c>
      <x:c r="E943" s="18" t="n">
        <x:v>1745.59</x:v>
      </x:c>
      <x:c r="F943" s="18"/>
      <x:c r="G943" s="18" t="n">
        <x:v>-1745.59</x:v>
      </x:c>
      <x:c r="H943" s="18" t="n">
        <x:f>H942+G943</x:f>
        <x:v>8628619.57</x:v>
      </x:c>
    </x:row>
    <x:row r="944">
      <x:c r="A944" s="20" t="n">
        <x:v>46181</x:v>
      </x:c>
      <x:c r="B944" s="21" t="str">
        <x:v>PRPAY-2026-006629</x:v>
      </x:c>
      <x:c r="C944" s="21" t="str">
        <x:v>PAYROLL DIRECT DEPOSIT - PRPAY-2026-006629</x:v>
      </x:c>
      <x:c r="D944" s="21" t="str">
        <x:v>Payroll</x:v>
      </x:c>
      <x:c r="E944" s="18" t="n">
        <x:v>1081.44</x:v>
      </x:c>
      <x:c r="F944" s="18"/>
      <x:c r="G944" s="18" t="n">
        <x:v>-1081.44</x:v>
      </x:c>
      <x:c r="H944" s="18" t="n">
        <x:f>H943+G944</x:f>
        <x:v>8627538.13</x:v>
      </x:c>
    </x:row>
    <x:row r="945">
      <x:c r="A945" s="20" t="n">
        <x:v>46181</x:v>
      </x:c>
      <x:c r="B945" s="21" t="str">
        <x:v>PRPAY-2026-006630</x:v>
      </x:c>
      <x:c r="C945" s="21" t="str">
        <x:v>PAYROLL DIRECT DEPOSIT - PRPAY-2026-006630</x:v>
      </x:c>
      <x:c r="D945" s="21" t="str">
        <x:v>Payroll</x:v>
      </x:c>
      <x:c r="E945" s="18" t="n">
        <x:v>829.37</x:v>
      </x:c>
      <x:c r="F945" s="18"/>
      <x:c r="G945" s="18" t="n">
        <x:v>-829.37</x:v>
      </x:c>
      <x:c r="H945" s="18" t="n">
        <x:f>H944+G945</x:f>
        <x:v>8626708.760000002</x:v>
      </x:c>
    </x:row>
    <x:row r="946">
      <x:c r="A946" s="20" t="n">
        <x:v>46181</x:v>
      </x:c>
      <x:c r="B946" s="21" t="str">
        <x:v>PRPAY-2026-006631</x:v>
      </x:c>
      <x:c r="C946" s="21" t="str">
        <x:v>PAYROLL DIRECT DEPOSIT - PRPAY-2026-006631</x:v>
      </x:c>
      <x:c r="D946" s="21" t="str">
        <x:v>Payroll</x:v>
      </x:c>
      <x:c r="E946" s="18" t="n">
        <x:v>1073.77</x:v>
      </x:c>
      <x:c r="F946" s="18"/>
      <x:c r="G946" s="18" t="n">
        <x:v>-1073.77</x:v>
      </x:c>
      <x:c r="H946" s="18" t="n">
        <x:f>H945+G946</x:f>
        <x:v>8625634.990000002</x:v>
      </x:c>
    </x:row>
    <x:row r="947">
      <x:c r="A947" s="20" t="n">
        <x:v>46181</x:v>
      </x:c>
      <x:c r="B947" s="21" t="str">
        <x:v>PRPAY-2026-006632</x:v>
      </x:c>
      <x:c r="C947" s="21" t="str">
        <x:v>PAYROLL DIRECT DEPOSIT - PRPAY-2026-006632</x:v>
      </x:c>
      <x:c r="D947" s="21" t="str">
        <x:v>Payroll</x:v>
      </x:c>
      <x:c r="E947" s="18" t="n">
        <x:v>1100</x:v>
      </x:c>
      <x:c r="F947" s="18"/>
      <x:c r="G947" s="18" t="n">
        <x:v>-1100</x:v>
      </x:c>
      <x:c r="H947" s="18" t="n">
        <x:f>H946+G947</x:f>
        <x:v>8624534.990000002</x:v>
      </x:c>
    </x:row>
    <x:row r="948">
      <x:c r="A948" s="20" t="n">
        <x:v>46181</x:v>
      </x:c>
      <x:c r="B948" s="21" t="str">
        <x:v>PRPAY-2026-006633</x:v>
      </x:c>
      <x:c r="C948" s="21" t="str">
        <x:v>PAYROLL DIRECT DEPOSIT - PRPAY-2026-006633</x:v>
      </x:c>
      <x:c r="D948" s="21" t="str">
        <x:v>Payroll</x:v>
      </x:c>
      <x:c r="E948" s="18" t="n">
        <x:v>1039.13</x:v>
      </x:c>
      <x:c r="F948" s="18"/>
      <x:c r="G948" s="18" t="n">
        <x:v>-1039.13</x:v>
      </x:c>
      <x:c r="H948" s="18" t="n">
        <x:f>H947+G948</x:f>
        <x:v>8623495.860000001</x:v>
      </x:c>
    </x:row>
    <x:row r="949">
      <x:c r="A949" s="20" t="n">
        <x:v>46181</x:v>
      </x:c>
      <x:c r="B949" s="21" t="str">
        <x:v>PRPAY-2026-006634</x:v>
      </x:c>
      <x:c r="C949" s="21" t="str">
        <x:v>PAYROLL DIRECT DEPOSIT - PRPAY-2026-006634</x:v>
      </x:c>
      <x:c r="D949" s="21" t="str">
        <x:v>Payroll</x:v>
      </x:c>
      <x:c r="E949" s="18" t="n">
        <x:v>1012.27</x:v>
      </x:c>
      <x:c r="F949" s="18"/>
      <x:c r="G949" s="18" t="n">
        <x:v>-1012.27</x:v>
      </x:c>
      <x:c r="H949" s="18" t="n">
        <x:f>H948+G949</x:f>
        <x:v>8622483.590000002</x:v>
      </x:c>
    </x:row>
    <x:row r="950">
      <x:c r="A950" s="20" t="n">
        <x:v>46181</x:v>
      </x:c>
      <x:c r="B950" s="21" t="str">
        <x:v>PRPAY-2026-006635</x:v>
      </x:c>
      <x:c r="C950" s="21" t="str">
        <x:v>PAYROLL DIRECT DEPOSIT - PRPAY-2026-006635</x:v>
      </x:c>
      <x:c r="D950" s="21" t="str">
        <x:v>Payroll</x:v>
      </x:c>
      <x:c r="E950" s="18" t="n">
        <x:v>1639.28</x:v>
      </x:c>
      <x:c r="F950" s="18"/>
      <x:c r="G950" s="18" t="n">
        <x:v>-1639.28</x:v>
      </x:c>
      <x:c r="H950" s="18" t="n">
        <x:f>H949+G950</x:f>
        <x:v>8620844.310000002</x:v>
      </x:c>
    </x:row>
    <x:row r="951">
      <x:c r="A951" s="20" t="n">
        <x:v>46181</x:v>
      </x:c>
      <x:c r="B951" s="21" t="str">
        <x:v>PRPAY-2026-006636</x:v>
      </x:c>
      <x:c r="C951" s="21" t="str">
        <x:v>PAYROLL DIRECT DEPOSIT - PRPAY-2026-006636</x:v>
      </x:c>
      <x:c r="D951" s="21" t="str">
        <x:v>Payroll</x:v>
      </x:c>
      <x:c r="E951" s="18" t="n">
        <x:v>1264.97</x:v>
      </x:c>
      <x:c r="F951" s="18"/>
      <x:c r="G951" s="18" t="n">
        <x:v>-1264.97</x:v>
      </x:c>
      <x:c r="H951" s="18" t="n">
        <x:f>H950+G951</x:f>
        <x:v>8619579.340000002</x:v>
      </x:c>
    </x:row>
    <x:row r="952">
      <x:c r="A952" s="20" t="n">
        <x:v>46181</x:v>
      </x:c>
      <x:c r="B952" s="21" t="str">
        <x:v>PRPAY-2026-006637</x:v>
      </x:c>
      <x:c r="C952" s="21" t="str">
        <x:v>PAYROLL DIRECT DEPOSIT - PRPAY-2026-006637</x:v>
      </x:c>
      <x:c r="D952" s="21" t="str">
        <x:v>Payroll</x:v>
      </x:c>
      <x:c r="E952" s="18" t="n">
        <x:v>1707.28</x:v>
      </x:c>
      <x:c r="F952" s="18"/>
      <x:c r="G952" s="18" t="n">
        <x:v>-1707.28</x:v>
      </x:c>
      <x:c r="H952" s="18" t="n">
        <x:f>H951+G952</x:f>
        <x:v>8617872.060000002</x:v>
      </x:c>
    </x:row>
    <x:row r="953">
      <x:c r="A953" s="20" t="n">
        <x:v>46181</x:v>
      </x:c>
      <x:c r="B953" s="21" t="str">
        <x:v>PRPAY-2026-006638</x:v>
      </x:c>
      <x:c r="C953" s="21" t="str">
        <x:v>PAYROLL DIRECT DEPOSIT - PRPAY-2026-006638</x:v>
      </x:c>
      <x:c r="D953" s="21" t="str">
        <x:v>Payroll</x:v>
      </x:c>
      <x:c r="E953" s="18" t="n">
        <x:v>1698.4</x:v>
      </x:c>
      <x:c r="F953" s="18"/>
      <x:c r="G953" s="18" t="n">
        <x:v>-1698.4</x:v>
      </x:c>
      <x:c r="H953" s="18" t="n">
        <x:f>H952+G953</x:f>
        <x:v>8616173.660000002</x:v>
      </x:c>
    </x:row>
    <x:row r="954">
      <x:c r="A954" s="20" t="n">
        <x:v>46181</x:v>
      </x:c>
      <x:c r="B954" s="21" t="str">
        <x:v>PRPAY-2026-006639</x:v>
      </x:c>
      <x:c r="C954" s="21" t="str">
        <x:v>PAYROLL DIRECT DEPOSIT - PRPAY-2026-006639</x:v>
      </x:c>
      <x:c r="D954" s="21" t="str">
        <x:v>Payroll</x:v>
      </x:c>
      <x:c r="E954" s="18" t="n">
        <x:v>1129.17</x:v>
      </x:c>
      <x:c r="F954" s="18"/>
      <x:c r="G954" s="18" t="n">
        <x:v>-1129.17</x:v>
      </x:c>
      <x:c r="H954" s="18" t="n">
        <x:f>H953+G954</x:f>
        <x:v>8615044.490000002</x:v>
      </x:c>
    </x:row>
    <x:row r="955">
      <x:c r="A955" s="20" t="n">
        <x:v>46181</x:v>
      </x:c>
      <x:c r="B955" s="21" t="str">
        <x:v>PRPAY-2026-006640</x:v>
      </x:c>
      <x:c r="C955" s="21" t="str">
        <x:v>PAYROLL DIRECT DEPOSIT - PRPAY-2026-006640</x:v>
      </x:c>
      <x:c r="D955" s="21" t="str">
        <x:v>Payroll</x:v>
      </x:c>
      <x:c r="E955" s="18" t="n">
        <x:v>1065.76</x:v>
      </x:c>
      <x:c r="F955" s="18"/>
      <x:c r="G955" s="18" t="n">
        <x:v>-1065.76</x:v>
      </x:c>
      <x:c r="H955" s="18" t="n">
        <x:f>H954+G955</x:f>
        <x:v>8613978.730000002</x:v>
      </x:c>
    </x:row>
    <x:row r="956">
      <x:c r="A956" s="20" t="n">
        <x:v>46181</x:v>
      </x:c>
      <x:c r="B956" s="21" t="str">
        <x:v>PRPAY-2026-006641</x:v>
      </x:c>
      <x:c r="C956" s="21" t="str">
        <x:v>PAYROLL DIRECT DEPOSIT - PRPAY-2026-006641</x:v>
      </x:c>
      <x:c r="D956" s="21" t="str">
        <x:v>Payroll</x:v>
      </x:c>
      <x:c r="E956" s="18" t="n">
        <x:v>1074.99</x:v>
      </x:c>
      <x:c r="F956" s="18"/>
      <x:c r="G956" s="18" t="n">
        <x:v>-1074.99</x:v>
      </x:c>
      <x:c r="H956" s="18" t="n">
        <x:f>H955+G956</x:f>
        <x:v>8612903.740000002</x:v>
      </x:c>
    </x:row>
    <x:row r="957">
      <x:c r="A957" s="20" t="n">
        <x:v>46181</x:v>
      </x:c>
      <x:c r="B957" s="21" t="str">
        <x:v>PRPAY-2026-006642</x:v>
      </x:c>
      <x:c r="C957" s="21" t="str">
        <x:v>PAYROLL DIRECT DEPOSIT - PRPAY-2026-006642</x:v>
      </x:c>
      <x:c r="D957" s="21" t="str">
        <x:v>Payroll</x:v>
      </x:c>
      <x:c r="E957" s="18" t="n">
        <x:v>1260.85</x:v>
      </x:c>
      <x:c r="F957" s="18"/>
      <x:c r="G957" s="18" t="n">
        <x:v>-1260.85</x:v>
      </x:c>
      <x:c r="H957" s="18" t="n">
        <x:f>H956+G957</x:f>
        <x:v>8611642.890000002</x:v>
      </x:c>
    </x:row>
    <x:row r="958">
      <x:c r="A958" s="20" t="n">
        <x:v>46181</x:v>
      </x:c>
      <x:c r="B958" s="21" t="str">
        <x:v>PRPAY-2026-006643</x:v>
      </x:c>
      <x:c r="C958" s="21" t="str">
        <x:v>PAYROLL DIRECT DEPOSIT - PRPAY-2026-006643</x:v>
      </x:c>
      <x:c r="D958" s="21" t="str">
        <x:v>Payroll</x:v>
      </x:c>
      <x:c r="E958" s="18" t="n">
        <x:v>1438.47</x:v>
      </x:c>
      <x:c r="F958" s="18"/>
      <x:c r="G958" s="18" t="n">
        <x:v>-1438.47</x:v>
      </x:c>
      <x:c r="H958" s="18" t="n">
        <x:f>H957+G958</x:f>
        <x:v>8610204.420000002</x:v>
      </x:c>
    </x:row>
    <x:row r="959">
      <x:c r="A959" s="20" t="n">
        <x:v>46181</x:v>
      </x:c>
      <x:c r="B959" s="21" t="str">
        <x:v>PRPAY-2026-006644</x:v>
      </x:c>
      <x:c r="C959" s="21" t="str">
        <x:v>PAYROLL DIRECT DEPOSIT - PRPAY-2026-006644</x:v>
      </x:c>
      <x:c r="D959" s="21" t="str">
        <x:v>Payroll</x:v>
      </x:c>
      <x:c r="E959" s="18" t="n">
        <x:v>1807.83</x:v>
      </x:c>
      <x:c r="F959" s="18"/>
      <x:c r="G959" s="18" t="n">
        <x:v>-1807.83</x:v>
      </x:c>
      <x:c r="H959" s="18" t="n">
        <x:f>H958+G959</x:f>
        <x:v>8608396.590000002</x:v>
      </x:c>
    </x:row>
    <x:row r="960">
      <x:c r="A960" s="20" t="n">
        <x:v>46181</x:v>
      </x:c>
      <x:c r="B960" s="21" t="str">
        <x:v>PRPAY-2026-006645</x:v>
      </x:c>
      <x:c r="C960" s="21" t="str">
        <x:v>PAYROLL DIRECT DEPOSIT - PRPAY-2026-006645</x:v>
      </x:c>
      <x:c r="D960" s="21" t="str">
        <x:v>Payroll</x:v>
      </x:c>
      <x:c r="E960" s="18" t="n">
        <x:v>1557.28</x:v>
      </x:c>
      <x:c r="F960" s="18"/>
      <x:c r="G960" s="18" t="n">
        <x:v>-1557.28</x:v>
      </x:c>
      <x:c r="H960" s="18" t="n">
        <x:f>H959+G960</x:f>
        <x:v>8606839.310000002</x:v>
      </x:c>
    </x:row>
    <x:row r="961">
      <x:c r="A961" s="20" t="n">
        <x:v>46181</x:v>
      </x:c>
      <x:c r="B961" s="21" t="str">
        <x:v>PRPAY-2026-006646</x:v>
      </x:c>
      <x:c r="C961" s="21" t="str">
        <x:v>PAYROLL DIRECT DEPOSIT - PRPAY-2026-006646</x:v>
      </x:c>
      <x:c r="D961" s="21" t="str">
        <x:v>Payroll</x:v>
      </x:c>
      <x:c r="E961" s="18" t="n">
        <x:v>1324.43</x:v>
      </x:c>
      <x:c r="F961" s="18"/>
      <x:c r="G961" s="18" t="n">
        <x:v>-1324.43</x:v>
      </x:c>
      <x:c r="H961" s="18" t="n">
        <x:f>H960+G961</x:f>
        <x:v>8605514.880000003</x:v>
      </x:c>
    </x:row>
    <x:row r="962">
      <x:c r="A962" s="20" t="n">
        <x:v>46181</x:v>
      </x:c>
      <x:c r="B962" s="21" t="str">
        <x:v>PRPAY-2026-006647</x:v>
      </x:c>
      <x:c r="C962" s="21" t="str">
        <x:v>PAYROLL DIRECT DEPOSIT - PRPAY-2026-006647</x:v>
      </x:c>
      <x:c r="D962" s="21" t="str">
        <x:v>Payroll</x:v>
      </x:c>
      <x:c r="E962" s="18" t="n">
        <x:v>1303.82</x:v>
      </x:c>
      <x:c r="F962" s="18"/>
      <x:c r="G962" s="18" t="n">
        <x:v>-1303.82</x:v>
      </x:c>
      <x:c r="H962" s="18" t="n">
        <x:f>H961+G962</x:f>
        <x:v>8604211.060000002</x:v>
      </x:c>
    </x:row>
    <x:row r="963">
      <x:c r="A963" s="20" t="n">
        <x:v>46181</x:v>
      </x:c>
      <x:c r="B963" s="21" t="str">
        <x:v>PRPAY-2026-006648</x:v>
      </x:c>
      <x:c r="C963" s="21" t="str">
        <x:v>PAYROLL DIRECT DEPOSIT - PRPAY-2026-006648</x:v>
      </x:c>
      <x:c r="D963" s="21" t="str">
        <x:v>Payroll</x:v>
      </x:c>
      <x:c r="E963" s="18" t="n">
        <x:v>955.07</x:v>
      </x:c>
      <x:c r="F963" s="18"/>
      <x:c r="G963" s="18" t="n">
        <x:v>-955.07</x:v>
      </x:c>
      <x:c r="H963" s="18" t="n">
        <x:f>H962+G963</x:f>
        <x:v>8603255.990000002</x:v>
      </x:c>
    </x:row>
    <x:row r="964">
      <x:c r="A964" s="20" t="n">
        <x:v>46181</x:v>
      </x:c>
      <x:c r="B964" s="21" t="str">
        <x:v>PRPAY-2026-006649</x:v>
      </x:c>
      <x:c r="C964" s="21" t="str">
        <x:v>PAYROLL DIRECT DEPOSIT - PRPAY-2026-006649</x:v>
      </x:c>
      <x:c r="D964" s="21" t="str">
        <x:v>Payroll</x:v>
      </x:c>
      <x:c r="E964" s="18" t="n">
        <x:v>995.38</x:v>
      </x:c>
      <x:c r="F964" s="18"/>
      <x:c r="G964" s="18" t="n">
        <x:v>-995.38</x:v>
      </x:c>
      <x:c r="H964" s="18" t="n">
        <x:f>H963+G964</x:f>
        <x:v>8602260.610000001</x:v>
      </x:c>
    </x:row>
    <x:row r="965">
      <x:c r="A965" s="20" t="n">
        <x:v>46181</x:v>
      </x:c>
      <x:c r="B965" s="21" t="str">
        <x:v>PRPAY-2026-006650</x:v>
      </x:c>
      <x:c r="C965" s="21" t="str">
        <x:v>PAYROLL DIRECT DEPOSIT - PRPAY-2026-006650</x:v>
      </x:c>
      <x:c r="D965" s="21" t="str">
        <x:v>Payroll</x:v>
      </x:c>
      <x:c r="E965" s="18" t="n">
        <x:v>1558.82</x:v>
      </x:c>
      <x:c r="F965" s="18"/>
      <x:c r="G965" s="18" t="n">
        <x:v>-1558.82</x:v>
      </x:c>
      <x:c r="H965" s="18" t="n">
        <x:f>H964+G965</x:f>
        <x:v>8600701.790000001</x:v>
      </x:c>
    </x:row>
    <x:row r="966">
      <x:c r="A966" s="20" t="n">
        <x:v>46181</x:v>
      </x:c>
      <x:c r="B966" s="21" t="str">
        <x:v>PRPAY-2026-006651</x:v>
      </x:c>
      <x:c r="C966" s="21" t="str">
        <x:v>PAYROLL DIRECT DEPOSIT - PRPAY-2026-006651</x:v>
      </x:c>
      <x:c r="D966" s="21" t="str">
        <x:v>Payroll</x:v>
      </x:c>
      <x:c r="E966" s="18" t="n">
        <x:v>1464.09</x:v>
      </x:c>
      <x:c r="F966" s="18"/>
      <x:c r="G966" s="18" t="n">
        <x:v>-1464.09</x:v>
      </x:c>
      <x:c r="H966" s="18" t="n">
        <x:f>H965+G966</x:f>
        <x:v>8599237.700000001</x:v>
      </x:c>
    </x:row>
    <x:row r="967">
      <x:c r="A967" s="20" t="n">
        <x:v>46181</x:v>
      </x:c>
      <x:c r="B967" s="21" t="str">
        <x:v>PRPAY-2026-006652</x:v>
      </x:c>
      <x:c r="C967" s="21" t="str">
        <x:v>PAYROLL DIRECT DEPOSIT - PRPAY-2026-006652</x:v>
      </x:c>
      <x:c r="D967" s="21" t="str">
        <x:v>Payroll</x:v>
      </x:c>
      <x:c r="E967" s="18" t="n">
        <x:v>1087.38</x:v>
      </x:c>
      <x:c r="F967" s="18"/>
      <x:c r="G967" s="18" t="n">
        <x:v>-1087.38</x:v>
      </x:c>
      <x:c r="H967" s="18" t="n">
        <x:f>H966+G967</x:f>
        <x:v>8598150.32</x:v>
      </x:c>
    </x:row>
    <x:row r="968">
      <x:c r="A968" s="20" t="n">
        <x:v>46181</x:v>
      </x:c>
      <x:c r="B968" s="21" t="str">
        <x:v>PRPAY-2026-006653</x:v>
      </x:c>
      <x:c r="C968" s="21" t="str">
        <x:v>PAYROLL DIRECT DEPOSIT - PRPAY-2026-006653</x:v>
      </x:c>
      <x:c r="D968" s="21" t="str">
        <x:v>Payroll</x:v>
      </x:c>
      <x:c r="E968" s="18" t="n">
        <x:v>924.8</x:v>
      </x:c>
      <x:c r="F968" s="18"/>
      <x:c r="G968" s="18" t="n">
        <x:v>-924.8</x:v>
      </x:c>
      <x:c r="H968" s="18" t="n">
        <x:f>H967+G968</x:f>
        <x:v>8597225.52</x:v>
      </x:c>
    </x:row>
    <x:row r="969">
      <x:c r="A969" s="20" t="n">
        <x:v>46181</x:v>
      </x:c>
      <x:c r="B969" s="21" t="str">
        <x:v>PRPAY-2026-006654</x:v>
      </x:c>
      <x:c r="C969" s="21" t="str">
        <x:v>PAYROLL DIRECT DEPOSIT - PRPAY-2026-006654</x:v>
      </x:c>
      <x:c r="D969" s="21" t="str">
        <x:v>Payroll</x:v>
      </x:c>
      <x:c r="E969" s="18" t="n">
        <x:v>831.27</x:v>
      </x:c>
      <x:c r="F969" s="18"/>
      <x:c r="G969" s="18" t="n">
        <x:v>-831.27</x:v>
      </x:c>
      <x:c r="H969" s="18" t="n">
        <x:f>H968+G969</x:f>
        <x:v>8596394.25</x:v>
      </x:c>
    </x:row>
    <x:row r="970">
      <x:c r="A970" s="20" t="n">
        <x:v>46181</x:v>
      </x:c>
      <x:c r="B970" s="21" t="str">
        <x:v>PRPAY-2026-006655</x:v>
      </x:c>
      <x:c r="C970" s="21" t="str">
        <x:v>PAYROLL DIRECT DEPOSIT - PRPAY-2026-006655</x:v>
      </x:c>
      <x:c r="D970" s="21" t="str">
        <x:v>Payroll</x:v>
      </x:c>
      <x:c r="E970" s="18" t="n">
        <x:v>1670.28</x:v>
      </x:c>
      <x:c r="F970" s="18"/>
      <x:c r="G970" s="18" t="n">
        <x:v>-1670.28</x:v>
      </x:c>
      <x:c r="H970" s="18" t="n">
        <x:f>H969+G970</x:f>
        <x:v>8594723.97</x:v>
      </x:c>
    </x:row>
    <x:row r="971">
      <x:c r="A971" s="20" t="n">
        <x:v>46181</x:v>
      </x:c>
      <x:c r="B971" s="21" t="str">
        <x:v>PRPAY-2026-006656</x:v>
      </x:c>
      <x:c r="C971" s="21" t="str">
        <x:v>PAYROLL DIRECT DEPOSIT - PRPAY-2026-006656</x:v>
      </x:c>
      <x:c r="D971" s="21" t="str">
        <x:v>Payroll</x:v>
      </x:c>
      <x:c r="E971" s="18" t="n">
        <x:v>1701.85</x:v>
      </x:c>
      <x:c r="F971" s="18"/>
      <x:c r="G971" s="18" t="n">
        <x:v>-1701.85</x:v>
      </x:c>
      <x:c r="H971" s="18" t="n">
        <x:f>H970+G971</x:f>
        <x:v>8593022.120000001</x:v>
      </x:c>
    </x:row>
    <x:row r="972">
      <x:c r="A972" s="20" t="n">
        <x:v>46181</x:v>
      </x:c>
      <x:c r="B972" s="21" t="str">
        <x:v>PRPAY-2026-006657</x:v>
      </x:c>
      <x:c r="C972" s="21" t="str">
        <x:v>PAYROLL DIRECT DEPOSIT - PRPAY-2026-006657</x:v>
      </x:c>
      <x:c r="D972" s="21" t="str">
        <x:v>Payroll</x:v>
      </x:c>
      <x:c r="E972" s="18" t="n">
        <x:v>1219.97</x:v>
      </x:c>
      <x:c r="F972" s="18"/>
      <x:c r="G972" s="18" t="n">
        <x:v>-1219.97</x:v>
      </x:c>
      <x:c r="H972" s="18" t="n">
        <x:f>H971+G972</x:f>
        <x:v>8591802.15</x:v>
      </x:c>
    </x:row>
    <x:row r="973">
      <x:c r="A973" s="20" t="n">
        <x:v>46181</x:v>
      </x:c>
      <x:c r="B973" s="21" t="str">
        <x:v>PRPAY-2026-006658</x:v>
      </x:c>
      <x:c r="C973" s="21" t="str">
        <x:v>PAYROLL DIRECT DEPOSIT - PRPAY-2026-006658</x:v>
      </x:c>
      <x:c r="D973" s="21" t="str">
        <x:v>Payroll</x:v>
      </x:c>
      <x:c r="E973" s="18" t="n">
        <x:v>1599.62</x:v>
      </x:c>
      <x:c r="F973" s="18"/>
      <x:c r="G973" s="18" t="n">
        <x:v>-1599.62</x:v>
      </x:c>
      <x:c r="H973" s="18" t="n">
        <x:f>H972+G973</x:f>
        <x:v>8590202.530000001</x:v>
      </x:c>
    </x:row>
    <x:row r="974">
      <x:c r="A974" s="20" t="n">
        <x:v>46181</x:v>
      </x:c>
      <x:c r="B974" s="21" t="str">
        <x:v>PRPAY-2026-006659</x:v>
      </x:c>
      <x:c r="C974" s="21" t="str">
        <x:v>PAYROLL DIRECT DEPOSIT - PRPAY-2026-006659</x:v>
      </x:c>
      <x:c r="D974" s="21" t="str">
        <x:v>Payroll</x:v>
      </x:c>
      <x:c r="E974" s="18" t="n">
        <x:v>1797.71</x:v>
      </x:c>
      <x:c r="F974" s="18"/>
      <x:c r="G974" s="18" t="n">
        <x:v>-1797.71</x:v>
      </x:c>
      <x:c r="H974" s="18" t="n">
        <x:f>H973+G974</x:f>
        <x:v>8588404.82</x:v>
      </x:c>
    </x:row>
    <x:row r="975">
      <x:c r="A975" s="20" t="n">
        <x:v>46181</x:v>
      </x:c>
      <x:c r="B975" s="21" t="str">
        <x:v>PRPAY-2026-006660</x:v>
      </x:c>
      <x:c r="C975" s="21" t="str">
        <x:v>PAYROLL DIRECT DEPOSIT - PRPAY-2026-006660</x:v>
      </x:c>
      <x:c r="D975" s="21" t="str">
        <x:v>Payroll</x:v>
      </x:c>
      <x:c r="E975" s="18" t="n">
        <x:v>1442.19</x:v>
      </x:c>
      <x:c r="F975" s="18"/>
      <x:c r="G975" s="18" t="n">
        <x:v>-1442.19</x:v>
      </x:c>
      <x:c r="H975" s="18" t="n">
        <x:f>H974+G975</x:f>
        <x:v>8586962.63</x:v>
      </x:c>
    </x:row>
    <x:row r="976">
      <x:c r="A976" s="20" t="n">
        <x:v>46181</x:v>
      </x:c>
      <x:c r="B976" s="21" t="str">
        <x:v>PRPAY-2026-006661</x:v>
      </x:c>
      <x:c r="C976" s="21" t="str">
        <x:v>PAYROLL DIRECT DEPOSIT - PRPAY-2026-006661</x:v>
      </x:c>
      <x:c r="D976" s="21" t="str">
        <x:v>Payroll</x:v>
      </x:c>
      <x:c r="E976" s="18" t="n">
        <x:v>1409.11</x:v>
      </x:c>
      <x:c r="F976" s="18"/>
      <x:c r="G976" s="18" t="n">
        <x:v>-1409.11</x:v>
      </x:c>
      <x:c r="H976" s="18" t="n">
        <x:f>H975+G976</x:f>
        <x:v>8585553.520000001</x:v>
      </x:c>
    </x:row>
    <x:row r="977">
      <x:c r="A977" s="20" t="n">
        <x:v>46181</x:v>
      </x:c>
      <x:c r="B977" s="21" t="str">
        <x:v>PRPAY-2026-006662</x:v>
      </x:c>
      <x:c r="C977" s="21" t="str">
        <x:v>PAYROLL DIRECT DEPOSIT - PRPAY-2026-006662</x:v>
      </x:c>
      <x:c r="D977" s="21" t="str">
        <x:v>Payroll</x:v>
      </x:c>
      <x:c r="E977" s="18" t="n">
        <x:v>1050.93</x:v>
      </x:c>
      <x:c r="F977" s="18"/>
      <x:c r="G977" s="18" t="n">
        <x:v>-1050.93</x:v>
      </x:c>
      <x:c r="H977" s="18" t="n">
        <x:f>H976+G977</x:f>
        <x:v>8584502.590000002</x:v>
      </x:c>
    </x:row>
    <x:row r="978">
      <x:c r="A978" s="20" t="n">
        <x:v>46181</x:v>
      </x:c>
      <x:c r="B978" s="21" t="str">
        <x:v>PRPAY-2026-006663</x:v>
      </x:c>
      <x:c r="C978" s="21" t="str">
        <x:v>PAYROLL DIRECT DEPOSIT - PRPAY-2026-006663</x:v>
      </x:c>
      <x:c r="D978" s="21" t="str">
        <x:v>Payroll</x:v>
      </x:c>
      <x:c r="E978" s="18" t="n">
        <x:v>1364.65</x:v>
      </x:c>
      <x:c r="F978" s="18"/>
      <x:c r="G978" s="18" t="n">
        <x:v>-1364.65</x:v>
      </x:c>
      <x:c r="H978" s="18" t="n">
        <x:f>H977+G978</x:f>
        <x:v>8583137.940000001</x:v>
      </x:c>
    </x:row>
    <x:row r="979">
      <x:c r="A979" s="20" t="n">
        <x:v>46181</x:v>
      </x:c>
      <x:c r="B979" s="21" t="str">
        <x:v>PRPAY-2026-006664</x:v>
      </x:c>
      <x:c r="C979" s="21" t="str">
        <x:v>PAYROLL DIRECT DEPOSIT - PRPAY-2026-006664</x:v>
      </x:c>
      <x:c r="D979" s="21" t="str">
        <x:v>Payroll</x:v>
      </x:c>
      <x:c r="E979" s="18" t="n">
        <x:v>1466.59</x:v>
      </x:c>
      <x:c r="F979" s="18"/>
      <x:c r="G979" s="18" t="n">
        <x:v>-1466.59</x:v>
      </x:c>
      <x:c r="H979" s="18" t="n">
        <x:f>H978+G979</x:f>
        <x:v>8581671.350000001</x:v>
      </x:c>
    </x:row>
    <x:row r="980">
      <x:c r="A980" s="20" t="n">
        <x:v>46181</x:v>
      </x:c>
      <x:c r="B980" s="21" t="str">
        <x:v>PRPAY-2026-006665</x:v>
      </x:c>
      <x:c r="C980" s="21" t="str">
        <x:v>PAYROLL DIRECT DEPOSIT - PRPAY-2026-006665</x:v>
      </x:c>
      <x:c r="D980" s="21" t="str">
        <x:v>Payroll</x:v>
      </x:c>
      <x:c r="E980" s="18" t="n">
        <x:v>1345.29</x:v>
      </x:c>
      <x:c r="F980" s="18"/>
      <x:c r="G980" s="18" t="n">
        <x:v>-1345.29</x:v>
      </x:c>
      <x:c r="H980" s="18" t="n">
        <x:f>H979+G980</x:f>
        <x:v>8580326.060000002</x:v>
      </x:c>
    </x:row>
    <x:row r="981">
      <x:c r="A981" s="20" t="n">
        <x:v>46181</x:v>
      </x:c>
      <x:c r="B981" s="21" t="str">
        <x:v>PRPAY-2026-006666</x:v>
      </x:c>
      <x:c r="C981" s="21" t="str">
        <x:v>PAYROLL DIRECT DEPOSIT - PRPAY-2026-006666</x:v>
      </x:c>
      <x:c r="D981" s="21" t="str">
        <x:v>Payroll</x:v>
      </x:c>
      <x:c r="E981" s="18" t="n">
        <x:v>1781.53</x:v>
      </x:c>
      <x:c r="F981" s="18"/>
      <x:c r="G981" s="18" t="n">
        <x:v>-1781.53</x:v>
      </x:c>
      <x:c r="H981" s="18" t="n">
        <x:f>H980+G981</x:f>
        <x:v>8578544.530000003</x:v>
      </x:c>
    </x:row>
    <x:row r="982">
      <x:c r="A982" s="20" t="n">
        <x:v>46181</x:v>
      </x:c>
      <x:c r="B982" s="21" t="str">
        <x:v>PRPAY-2026-006667</x:v>
      </x:c>
      <x:c r="C982" s="21" t="str">
        <x:v>PAYROLL DIRECT DEPOSIT - PRPAY-2026-006667</x:v>
      </x:c>
      <x:c r="D982" s="21" t="str">
        <x:v>Payroll</x:v>
      </x:c>
      <x:c r="E982" s="18" t="n">
        <x:v>1450.58</x:v>
      </x:c>
      <x:c r="F982" s="18"/>
      <x:c r="G982" s="18" t="n">
        <x:v>-1450.58</x:v>
      </x:c>
      <x:c r="H982" s="18" t="n">
        <x:f>H981+G982</x:f>
        <x:v>8577093.950000003</x:v>
      </x:c>
    </x:row>
    <x:row r="983">
      <x:c r="A983" s="20" t="n">
        <x:v>46181</x:v>
      </x:c>
      <x:c r="B983" s="21" t="str">
        <x:v>PRPAY-2026-006668</x:v>
      </x:c>
      <x:c r="C983" s="21" t="str">
        <x:v>PAYROLL DIRECT DEPOSIT - PRPAY-2026-006668</x:v>
      </x:c>
      <x:c r="D983" s="21" t="str">
        <x:v>Payroll</x:v>
      </x:c>
      <x:c r="E983" s="18" t="n">
        <x:v>929.01</x:v>
      </x:c>
      <x:c r="F983" s="18"/>
      <x:c r="G983" s="18" t="n">
        <x:v>-929.01</x:v>
      </x:c>
      <x:c r="H983" s="18" t="n">
        <x:f>H982+G983</x:f>
        <x:v>8576164.940000003</x:v>
      </x:c>
    </x:row>
    <x:row r="984">
      <x:c r="A984" s="20" t="n">
        <x:v>46181</x:v>
      </x:c>
      <x:c r="B984" s="21" t="str">
        <x:v>PRPAY-2026-006669</x:v>
      </x:c>
      <x:c r="C984" s="21" t="str">
        <x:v>PAYROLL DIRECT DEPOSIT - PRPAY-2026-006669</x:v>
      </x:c>
      <x:c r="D984" s="21" t="str">
        <x:v>Payroll</x:v>
      </x:c>
      <x:c r="E984" s="18" t="n">
        <x:v>1574.49</x:v>
      </x:c>
      <x:c r="F984" s="18"/>
      <x:c r="G984" s="18" t="n">
        <x:v>-1574.49</x:v>
      </x:c>
      <x:c r="H984" s="18" t="n">
        <x:f>H983+G984</x:f>
        <x:v>8574590.450000003</x:v>
      </x:c>
    </x:row>
    <x:row r="985">
      <x:c r="A985" s="20" t="n">
        <x:v>46181</x:v>
      </x:c>
      <x:c r="B985" s="21" t="str">
        <x:v>PRPAY-2026-006670</x:v>
      </x:c>
      <x:c r="C985" s="21" t="str">
        <x:v>PAYROLL DIRECT DEPOSIT - PRPAY-2026-006670</x:v>
      </x:c>
      <x:c r="D985" s="21" t="str">
        <x:v>Payroll</x:v>
      </x:c>
      <x:c r="E985" s="18" t="n">
        <x:v>1840</x:v>
      </x:c>
      <x:c r="F985" s="18"/>
      <x:c r="G985" s="18" t="n">
        <x:v>-1840</x:v>
      </x:c>
      <x:c r="H985" s="18" t="n">
        <x:f>H984+G985</x:f>
        <x:v>8572750.450000003</x:v>
      </x:c>
    </x:row>
    <x:row r="986">
      <x:c r="A986" s="20" t="n">
        <x:v>46181</x:v>
      </x:c>
      <x:c r="B986" s="21" t="str">
        <x:v>PRPAY-2026-006671</x:v>
      </x:c>
      <x:c r="C986" s="21" t="str">
        <x:v>PAYROLL DIRECT DEPOSIT - PRPAY-2026-006671</x:v>
      </x:c>
      <x:c r="D986" s="21" t="str">
        <x:v>Payroll</x:v>
      </x:c>
      <x:c r="E986" s="18" t="n">
        <x:v>1073.82</x:v>
      </x:c>
      <x:c r="F986" s="18"/>
      <x:c r="G986" s="18" t="n">
        <x:v>-1073.82</x:v>
      </x:c>
      <x:c r="H986" s="18" t="n">
        <x:f>H985+G986</x:f>
        <x:v>8571676.630000003</x:v>
      </x:c>
    </x:row>
    <x:row r="987">
      <x:c r="A987" s="20" t="n">
        <x:v>46181</x:v>
      </x:c>
      <x:c r="B987" s="21" t="str">
        <x:v>PRPAY-2026-006672</x:v>
      </x:c>
      <x:c r="C987" s="21" t="str">
        <x:v>PAYROLL DIRECT DEPOSIT - PRPAY-2026-006672</x:v>
      </x:c>
      <x:c r="D987" s="21" t="str">
        <x:v>Payroll</x:v>
      </x:c>
      <x:c r="E987" s="18" t="n">
        <x:v>731.89</x:v>
      </x:c>
      <x:c r="F987" s="18"/>
      <x:c r="G987" s="18" t="n">
        <x:v>-731.89</x:v>
      </x:c>
      <x:c r="H987" s="18" t="n">
        <x:f>H986+G987</x:f>
        <x:v>8570944.740000002</x:v>
      </x:c>
    </x:row>
    <x:row r="988">
      <x:c r="A988" s="20" t="n">
        <x:v>46181</x:v>
      </x:c>
      <x:c r="B988" s="21" t="str">
        <x:v>PRPAY-2026-006673</x:v>
      </x:c>
      <x:c r="C988" s="21" t="str">
        <x:v>PAYROLL DIRECT DEPOSIT - PRPAY-2026-006673</x:v>
      </x:c>
      <x:c r="D988" s="21" t="str">
        <x:v>Payroll</x:v>
      </x:c>
      <x:c r="E988" s="18" t="n">
        <x:v>1572.85</x:v>
      </x:c>
      <x:c r="F988" s="18"/>
      <x:c r="G988" s="18" t="n">
        <x:v>-1572.85</x:v>
      </x:c>
      <x:c r="H988" s="18" t="n">
        <x:f>H987+G988</x:f>
        <x:v>8569371.890000002</x:v>
      </x:c>
    </x:row>
    <x:row r="989">
      <x:c r="A989" s="20" t="n">
        <x:v>46181</x:v>
      </x:c>
      <x:c r="B989" s="21" t="str">
        <x:v>PRPAY-2026-006674</x:v>
      </x:c>
      <x:c r="C989" s="21" t="str">
        <x:v>PAYROLL DIRECT DEPOSIT - PRPAY-2026-006674</x:v>
      </x:c>
      <x:c r="D989" s="21" t="str">
        <x:v>Payroll</x:v>
      </x:c>
      <x:c r="E989" s="18" t="n">
        <x:v>1807.89</x:v>
      </x:c>
      <x:c r="F989" s="18"/>
      <x:c r="G989" s="18" t="n">
        <x:v>-1807.89</x:v>
      </x:c>
      <x:c r="H989" s="18" t="n">
        <x:f>H988+G989</x:f>
        <x:v>8567564.000000002</x:v>
      </x:c>
    </x:row>
    <x:row r="990">
      <x:c r="A990" s="20" t="n">
        <x:v>46181</x:v>
      </x:c>
      <x:c r="B990" s="21" t="str">
        <x:v>PRPAY-2026-006675</x:v>
      </x:c>
      <x:c r="C990" s="21" t="str">
        <x:v>PAYROLL DIRECT DEPOSIT - PRPAY-2026-006675</x:v>
      </x:c>
      <x:c r="D990" s="21" t="str">
        <x:v>Payroll</x:v>
      </x:c>
      <x:c r="E990" s="18" t="n">
        <x:v>1732.1</x:v>
      </x:c>
      <x:c r="F990" s="18"/>
      <x:c r="G990" s="18" t="n">
        <x:v>-1732.1</x:v>
      </x:c>
      <x:c r="H990" s="18" t="n">
        <x:f>H989+G990</x:f>
        <x:v>8565831.900000002</x:v>
      </x:c>
    </x:row>
    <x:row r="991">
      <x:c r="A991" s="20" t="n">
        <x:v>46181</x:v>
      </x:c>
      <x:c r="B991" s="21" t="str">
        <x:v>PRPAY-2026-006676</x:v>
      </x:c>
      <x:c r="C991" s="21" t="str">
        <x:v>PAYROLL DIRECT DEPOSIT - PRPAY-2026-006676</x:v>
      </x:c>
      <x:c r="D991" s="21" t="str">
        <x:v>Payroll</x:v>
      </x:c>
      <x:c r="E991" s="18" t="n">
        <x:v>1964.39</x:v>
      </x:c>
      <x:c r="F991" s="18"/>
      <x:c r="G991" s="18" t="n">
        <x:v>-1964.39</x:v>
      </x:c>
      <x:c r="H991" s="18" t="n">
        <x:f>H990+G991</x:f>
        <x:v>8563867.510000002</x:v>
      </x:c>
    </x:row>
    <x:row r="992">
      <x:c r="A992" s="20" t="n">
        <x:v>46181</x:v>
      </x:c>
      <x:c r="B992" s="21" t="str">
        <x:v>PRPAY-2026-006677</x:v>
      </x:c>
      <x:c r="C992" s="21" t="str">
        <x:v>PAYROLL DIRECT DEPOSIT - PRPAY-2026-006677</x:v>
      </x:c>
      <x:c r="D992" s="21" t="str">
        <x:v>Payroll</x:v>
      </x:c>
      <x:c r="E992" s="18" t="n">
        <x:v>1480.87</x:v>
      </x:c>
      <x:c r="F992" s="18"/>
      <x:c r="G992" s="18" t="n">
        <x:v>-1480.87</x:v>
      </x:c>
      <x:c r="H992" s="18" t="n">
        <x:f>H991+G992</x:f>
        <x:v>8562386.640000002</x:v>
      </x:c>
    </x:row>
    <x:row r="993">
      <x:c r="A993" s="20" t="n">
        <x:v>46181</x:v>
      </x:c>
      <x:c r="B993" s="21" t="str">
        <x:v>PRPAY-2026-006678</x:v>
      </x:c>
      <x:c r="C993" s="21" t="str">
        <x:v>PAYROLL DIRECT DEPOSIT - PRPAY-2026-006678</x:v>
      </x:c>
      <x:c r="D993" s="21" t="str">
        <x:v>Payroll</x:v>
      </x:c>
      <x:c r="E993" s="18" t="n">
        <x:v>1711.08</x:v>
      </x:c>
      <x:c r="F993" s="18"/>
      <x:c r="G993" s="18" t="n">
        <x:v>-1711.08</x:v>
      </x:c>
      <x:c r="H993" s="18" t="n">
        <x:f>H992+G993</x:f>
        <x:v>8560675.560000002</x:v>
      </x:c>
    </x:row>
    <x:row r="994">
      <x:c r="A994" s="20" t="n">
        <x:v>46181</x:v>
      </x:c>
      <x:c r="B994" s="21" t="str">
        <x:v>PRPAY-2026-006679</x:v>
      </x:c>
      <x:c r="C994" s="21" t="str">
        <x:v>PAYROLL DIRECT DEPOSIT - PRPAY-2026-006679</x:v>
      </x:c>
      <x:c r="D994" s="21" t="str">
        <x:v>Payroll</x:v>
      </x:c>
      <x:c r="E994" s="18" t="n">
        <x:v>1622.39</x:v>
      </x:c>
      <x:c r="F994" s="18"/>
      <x:c r="G994" s="18" t="n">
        <x:v>-1622.39</x:v>
      </x:c>
      <x:c r="H994" s="18" t="n">
        <x:f>H993+G994</x:f>
        <x:v>8559053.170000002</x:v>
      </x:c>
    </x:row>
    <x:row r="995">
      <x:c r="A995" s="20" t="n">
        <x:v>46181</x:v>
      </x:c>
      <x:c r="B995" s="21" t="str">
        <x:v>PRPAY-2026-006680</x:v>
      </x:c>
      <x:c r="C995" s="21" t="str">
        <x:v>PAYROLL DIRECT DEPOSIT - PRPAY-2026-006680</x:v>
      </x:c>
      <x:c r="D995" s="21" t="str">
        <x:v>Payroll</x:v>
      </x:c>
      <x:c r="E995" s="18" t="n">
        <x:v>1747.82</x:v>
      </x:c>
      <x:c r="F995" s="18"/>
      <x:c r="G995" s="18" t="n">
        <x:v>-1747.82</x:v>
      </x:c>
      <x:c r="H995" s="18" t="n">
        <x:f>H994+G995</x:f>
        <x:v>8557305.350000001</x:v>
      </x:c>
    </x:row>
    <x:row r="996">
      <x:c r="A996" s="20" t="n">
        <x:v>46181</x:v>
      </x:c>
      <x:c r="B996" s="21" t="str">
        <x:v>PRPAY-2026-006681</x:v>
      </x:c>
      <x:c r="C996" s="21" t="str">
        <x:v>PAYROLL DIRECT DEPOSIT - PRPAY-2026-006681</x:v>
      </x:c>
      <x:c r="D996" s="21" t="str">
        <x:v>Payroll</x:v>
      </x:c>
      <x:c r="E996" s="18" t="n">
        <x:v>1671.47</x:v>
      </x:c>
      <x:c r="F996" s="18"/>
      <x:c r="G996" s="18" t="n">
        <x:v>-1671.47</x:v>
      </x:c>
      <x:c r="H996" s="18" t="n">
        <x:f>H995+G996</x:f>
        <x:v>8555633.88</x:v>
      </x:c>
    </x:row>
    <x:row r="997">
      <x:c r="A997" s="20" t="n">
        <x:v>46181</x:v>
      </x:c>
      <x:c r="B997" s="21" t="str">
        <x:v>PRPAY-2026-006682</x:v>
      </x:c>
      <x:c r="C997" s="21" t="str">
        <x:v>PAYROLL DIRECT DEPOSIT - PRPAY-2026-006682</x:v>
      </x:c>
      <x:c r="D997" s="21" t="str">
        <x:v>Payroll</x:v>
      </x:c>
      <x:c r="E997" s="18" t="n">
        <x:v>1549.58</x:v>
      </x:c>
      <x:c r="F997" s="18"/>
      <x:c r="G997" s="18" t="n">
        <x:v>-1549.58</x:v>
      </x:c>
      <x:c r="H997" s="18" t="n">
        <x:f>H996+G997</x:f>
        <x:v>8554084.3</x:v>
      </x:c>
    </x:row>
    <x:row r="998">
      <x:c r="A998" s="20" t="n">
        <x:v>46181</x:v>
      </x:c>
      <x:c r="B998" s="21" t="str">
        <x:v>PRPAY-2026-006683</x:v>
      </x:c>
      <x:c r="C998" s="21" t="str">
        <x:v>PAYROLL DIRECT DEPOSIT - PRPAY-2026-006683</x:v>
      </x:c>
      <x:c r="D998" s="21" t="str">
        <x:v>Payroll</x:v>
      </x:c>
      <x:c r="E998" s="18" t="n">
        <x:v>1939.81</x:v>
      </x:c>
      <x:c r="F998" s="18"/>
      <x:c r="G998" s="18" t="n">
        <x:v>-1939.81</x:v>
      </x:c>
      <x:c r="H998" s="18" t="n">
        <x:f>H997+G998</x:f>
        <x:v>8552144.49</x:v>
      </x:c>
    </x:row>
    <x:row r="999">
      <x:c r="A999" s="20" t="n">
        <x:v>46181</x:v>
      </x:c>
      <x:c r="B999" s="21" t="str">
        <x:v>PRPAY-2026-006684</x:v>
      </x:c>
      <x:c r="C999" s="21" t="str">
        <x:v>PAYROLL DIRECT DEPOSIT - PRPAY-2026-006684</x:v>
      </x:c>
      <x:c r="D999" s="21" t="str">
        <x:v>Payroll</x:v>
      </x:c>
      <x:c r="E999" s="18" t="n">
        <x:v>1785.98</x:v>
      </x:c>
      <x:c r="F999" s="18"/>
      <x:c r="G999" s="18" t="n">
        <x:v>-1785.98</x:v>
      </x:c>
      <x:c r="H999" s="18" t="n">
        <x:f>H998+G999</x:f>
        <x:v>8550358.51</x:v>
      </x:c>
    </x:row>
    <x:row r="1000">
      <x:c r="A1000" s="20" t="n">
        <x:v>46181</x:v>
      </x:c>
      <x:c r="B1000" s="21" t="str">
        <x:v>PRPAY-2026-006685</x:v>
      </x:c>
      <x:c r="C1000" s="21" t="str">
        <x:v>PAYROLL DIRECT DEPOSIT - PRPAY-2026-006685</x:v>
      </x:c>
      <x:c r="D1000" s="21" t="str">
        <x:v>Payroll</x:v>
      </x:c>
      <x:c r="E1000" s="18" t="n">
        <x:v>1804.89</x:v>
      </x:c>
      <x:c r="F1000" s="18"/>
      <x:c r="G1000" s="18" t="n">
        <x:v>-1804.89</x:v>
      </x:c>
      <x:c r="H1000" s="18" t="n">
        <x:f>H999+G1000</x:f>
        <x:v>8548553.62</x:v>
      </x:c>
    </x:row>
    <x:row r="1001">
      <x:c r="A1001" s="20" t="n">
        <x:v>46181</x:v>
      </x:c>
      <x:c r="B1001" s="21" t="str">
        <x:v>PRPAY-2026-006686</x:v>
      </x:c>
      <x:c r="C1001" s="21" t="str">
        <x:v>PAYROLL DIRECT DEPOSIT - PRPAY-2026-006686</x:v>
      </x:c>
      <x:c r="D1001" s="21" t="str">
        <x:v>Payroll</x:v>
      </x:c>
      <x:c r="E1001" s="18" t="n">
        <x:v>1873.84</x:v>
      </x:c>
      <x:c r="F1001" s="18"/>
      <x:c r="G1001" s="18" t="n">
        <x:v>-1873.84</x:v>
      </x:c>
      <x:c r="H1001" s="18" t="n">
        <x:f>H1000+G1001</x:f>
        <x:v>8546679.78</x:v>
      </x:c>
    </x:row>
    <x:row r="1002">
      <x:c r="A1002" s="20" t="n">
        <x:v>46181</x:v>
      </x:c>
      <x:c r="B1002" s="21" t="str">
        <x:v>PRPAY-2026-006687</x:v>
      </x:c>
      <x:c r="C1002" s="21" t="str">
        <x:v>PAYROLL DIRECT DEPOSIT - PRPAY-2026-006687</x:v>
      </x:c>
      <x:c r="D1002" s="21" t="str">
        <x:v>Payroll</x:v>
      </x:c>
      <x:c r="E1002" s="18" t="n">
        <x:v>1788.71</x:v>
      </x:c>
      <x:c r="F1002" s="18"/>
      <x:c r="G1002" s="18" t="n">
        <x:v>-1788.71</x:v>
      </x:c>
      <x:c r="H1002" s="18" t="n">
        <x:f>H1001+G1002</x:f>
        <x:v>8544891.069999998</x:v>
      </x:c>
    </x:row>
    <x:row r="1003">
      <x:c r="A1003" s="20" t="n">
        <x:v>46181</x:v>
      </x:c>
      <x:c r="B1003" s="21" t="str">
        <x:v>PRPAY-2026-006688</x:v>
      </x:c>
      <x:c r="C1003" s="21" t="str">
        <x:v>PAYROLL DIRECT DEPOSIT - PRPAY-2026-006688</x:v>
      </x:c>
      <x:c r="D1003" s="21" t="str">
        <x:v>Payroll</x:v>
      </x:c>
      <x:c r="E1003" s="18" t="n">
        <x:v>1825.07</x:v>
      </x:c>
      <x:c r="F1003" s="18"/>
      <x:c r="G1003" s="18" t="n">
        <x:v>-1825.07</x:v>
      </x:c>
      <x:c r="H1003" s="18" t="n">
        <x:f>H1002+G1003</x:f>
        <x:v>8543065.999999998</x:v>
      </x:c>
    </x:row>
    <x:row r="1004">
      <x:c r="A1004" s="20" t="n">
        <x:v>46181</x:v>
      </x:c>
      <x:c r="B1004" s="21" t="str">
        <x:v>PRPAY-2026-006689</x:v>
      </x:c>
      <x:c r="C1004" s="21" t="str">
        <x:v>PAYROLL DIRECT DEPOSIT - PRPAY-2026-006689</x:v>
      </x:c>
      <x:c r="D1004" s="21" t="str">
        <x:v>Payroll</x:v>
      </x:c>
      <x:c r="E1004" s="18" t="n">
        <x:v>1742.88</x:v>
      </x:c>
      <x:c r="F1004" s="18"/>
      <x:c r="G1004" s="18" t="n">
        <x:v>-1742.88</x:v>
      </x:c>
      <x:c r="H1004" s="18" t="n">
        <x:f>H1003+G1004</x:f>
        <x:v>8541323.119999997</x:v>
      </x:c>
    </x:row>
    <x:row r="1005">
      <x:c r="A1005" s="20" t="n">
        <x:v>46181</x:v>
      </x:c>
      <x:c r="B1005" s="21" t="str">
        <x:v>PRPAY-2026-006690</x:v>
      </x:c>
      <x:c r="C1005" s="21" t="str">
        <x:v>PAYROLL DIRECT DEPOSIT - PRPAY-2026-006690</x:v>
      </x:c>
      <x:c r="D1005" s="21" t="str">
        <x:v>Payroll</x:v>
      </x:c>
      <x:c r="E1005" s="18" t="n">
        <x:v>1459.83</x:v>
      </x:c>
      <x:c r="F1005" s="18"/>
      <x:c r="G1005" s="18" t="n">
        <x:v>-1459.83</x:v>
      </x:c>
      <x:c r="H1005" s="18" t="n">
        <x:f>H1004+G1005</x:f>
        <x:v>8539863.289999997</x:v>
      </x:c>
    </x:row>
    <x:row r="1006">
      <x:c r="A1006" s="20" t="n">
        <x:v>46181</x:v>
      </x:c>
      <x:c r="B1006" s="21" t="str">
        <x:v>PRPAY-2026-006691</x:v>
      </x:c>
      <x:c r="C1006" s="21" t="str">
        <x:v>PAYROLL DIRECT DEPOSIT - PRPAY-2026-006691</x:v>
      </x:c>
      <x:c r="D1006" s="21" t="str">
        <x:v>Payroll</x:v>
      </x:c>
      <x:c r="E1006" s="18" t="n">
        <x:v>1711.74</x:v>
      </x:c>
      <x:c r="F1006" s="18"/>
      <x:c r="G1006" s="18" t="n">
        <x:v>-1711.74</x:v>
      </x:c>
      <x:c r="H1006" s="18" t="n">
        <x:f>H1005+G1006</x:f>
        <x:v>8538151.549999997</x:v>
      </x:c>
    </x:row>
    <x:row r="1007">
      <x:c r="A1007" s="20" t="n">
        <x:v>46181</x:v>
      </x:c>
      <x:c r="B1007" s="21" t="str">
        <x:v>PRPAY-2026-006692</x:v>
      </x:c>
      <x:c r="C1007" s="21" t="str">
        <x:v>PAYROLL DIRECT DEPOSIT - PRPAY-2026-006692</x:v>
      </x:c>
      <x:c r="D1007" s="21" t="str">
        <x:v>Payroll</x:v>
      </x:c>
      <x:c r="E1007" s="18" t="n">
        <x:v>1696.08</x:v>
      </x:c>
      <x:c r="F1007" s="18"/>
      <x:c r="G1007" s="18" t="n">
        <x:v>-1696.08</x:v>
      </x:c>
      <x:c r="H1007" s="18" t="n">
        <x:f>H1006+G1007</x:f>
        <x:v>8536455.469999997</x:v>
      </x:c>
    </x:row>
    <x:row r="1008">
      <x:c r="A1008" s="20" t="n">
        <x:v>46181</x:v>
      </x:c>
      <x:c r="B1008" s="21" t="str">
        <x:v>PRPAY-2026-006693</x:v>
      </x:c>
      <x:c r="C1008" s="21" t="str">
        <x:v>PAYROLL DIRECT DEPOSIT - PRPAY-2026-006693</x:v>
      </x:c>
      <x:c r="D1008" s="21" t="str">
        <x:v>Payroll</x:v>
      </x:c>
      <x:c r="E1008" s="18" t="n">
        <x:v>1681.72</x:v>
      </x:c>
      <x:c r="F1008" s="18"/>
      <x:c r="G1008" s="18" t="n">
        <x:v>-1681.72</x:v>
      </x:c>
      <x:c r="H1008" s="18" t="n">
        <x:f>H1007+G1008</x:f>
        <x:v>8534773.749999996</x:v>
      </x:c>
    </x:row>
    <x:row r="1009">
      <x:c r="A1009" s="20" t="n">
        <x:v>46181</x:v>
      </x:c>
      <x:c r="B1009" s="21" t="str">
        <x:v>PRPAY-2026-006694</x:v>
      </x:c>
      <x:c r="C1009" s="21" t="str">
        <x:v>PAYROLL DIRECT DEPOSIT - PRPAY-2026-006694</x:v>
      </x:c>
      <x:c r="D1009" s="21" t="str">
        <x:v>Payroll</x:v>
      </x:c>
      <x:c r="E1009" s="18" t="n">
        <x:v>1913.56</x:v>
      </x:c>
      <x:c r="F1009" s="18"/>
      <x:c r="G1009" s="18" t="n">
        <x:v>-1913.56</x:v>
      </x:c>
      <x:c r="H1009" s="18" t="n">
        <x:f>H1008+G1009</x:f>
        <x:v>8532860.189999996</x:v>
      </x:c>
    </x:row>
    <x:row r="1010">
      <x:c r="A1010" s="20" t="n">
        <x:v>46181</x:v>
      </x:c>
      <x:c r="B1010" s="21" t="str">
        <x:v>PRPAY-2026-006695</x:v>
      </x:c>
      <x:c r="C1010" s="21" t="str">
        <x:v>PAYROLL DIRECT DEPOSIT - PRPAY-2026-006695</x:v>
      </x:c>
      <x:c r="D1010" s="21" t="str">
        <x:v>Payroll</x:v>
      </x:c>
      <x:c r="E1010" s="18" t="n">
        <x:v>1524.05</x:v>
      </x:c>
      <x:c r="F1010" s="18"/>
      <x:c r="G1010" s="18" t="n">
        <x:v>-1524.05</x:v>
      </x:c>
      <x:c r="H1010" s="18" t="n">
        <x:f>H1009+G1010</x:f>
        <x:v>8531336.139999995</x:v>
      </x:c>
    </x:row>
    <x:row r="1011">
      <x:c r="A1011" s="20" t="n">
        <x:v>46181</x:v>
      </x:c>
      <x:c r="B1011" s="21" t="str">
        <x:v>PRPAY-2026-006696</x:v>
      </x:c>
      <x:c r="C1011" s="21" t="str">
        <x:v>PAYROLL DIRECT DEPOSIT - PRPAY-2026-006696</x:v>
      </x:c>
      <x:c r="D1011" s="21" t="str">
        <x:v>Payroll</x:v>
      </x:c>
      <x:c r="E1011" s="18" t="n">
        <x:v>1807.5</x:v>
      </x:c>
      <x:c r="F1011" s="18"/>
      <x:c r="G1011" s="18" t="n">
        <x:v>-1807.5</x:v>
      </x:c>
      <x:c r="H1011" s="18" t="n">
        <x:f>H1010+G1011</x:f>
        <x:v>8529528.639999995</x:v>
      </x:c>
    </x:row>
    <x:row r="1012">
      <x:c r="A1012" s="20" t="n">
        <x:v>46181</x:v>
      </x:c>
      <x:c r="B1012" s="21" t="str">
        <x:v>PRPAY-2026-006697</x:v>
      </x:c>
      <x:c r="C1012" s="21" t="str">
        <x:v>PAYROLL DIRECT DEPOSIT - PRPAY-2026-006697</x:v>
      </x:c>
      <x:c r="D1012" s="21" t="str">
        <x:v>Payroll</x:v>
      </x:c>
      <x:c r="E1012" s="18" t="n">
        <x:v>1924.39</x:v>
      </x:c>
      <x:c r="F1012" s="18"/>
      <x:c r="G1012" s="18" t="n">
        <x:v>-1924.39</x:v>
      </x:c>
      <x:c r="H1012" s="18" t="n">
        <x:f>H1011+G1012</x:f>
        <x:v>8527604.249999994</x:v>
      </x:c>
    </x:row>
    <x:row r="1013">
      <x:c r="A1013" s="20" t="n">
        <x:v>46181</x:v>
      </x:c>
      <x:c r="B1013" s="21" t="str">
        <x:v>PRPAY-2026-006698</x:v>
      </x:c>
      <x:c r="C1013" s="21" t="str">
        <x:v>PAYROLL DIRECT DEPOSIT - PRPAY-2026-006698</x:v>
      </x:c>
      <x:c r="D1013" s="21" t="str">
        <x:v>Payroll</x:v>
      </x:c>
      <x:c r="E1013" s="18" t="n">
        <x:v>1917.21</x:v>
      </x:c>
      <x:c r="F1013" s="18"/>
      <x:c r="G1013" s="18" t="n">
        <x:v>-1917.21</x:v>
      </x:c>
      <x:c r="H1013" s="18" t="n">
        <x:f>H1012+G1013</x:f>
        <x:v>8525687.039999994</x:v>
      </x:c>
    </x:row>
    <x:row r="1014">
      <x:c r="A1014" s="20" t="n">
        <x:v>46181</x:v>
      </x:c>
      <x:c r="B1014" s="21" t="str">
        <x:v>PRPAY-2026-006699</x:v>
      </x:c>
      <x:c r="C1014" s="21" t="str">
        <x:v>PAYROLL DIRECT DEPOSIT - PRPAY-2026-006699</x:v>
      </x:c>
      <x:c r="D1014" s="21" t="str">
        <x:v>Payroll</x:v>
      </x:c>
      <x:c r="E1014" s="18" t="n">
        <x:v>1753.27</x:v>
      </x:c>
      <x:c r="F1014" s="18"/>
      <x:c r="G1014" s="18" t="n">
        <x:v>-1753.27</x:v>
      </x:c>
      <x:c r="H1014" s="18" t="n">
        <x:f>H1013+G1014</x:f>
        <x:v>8523933.769999994</x:v>
      </x:c>
    </x:row>
    <x:row r="1015">
      <x:c r="A1015" s="20" t="n">
        <x:v>46181</x:v>
      </x:c>
      <x:c r="B1015" s="21" t="str">
        <x:v>PRPAY-2026-006700</x:v>
      </x:c>
      <x:c r="C1015" s="21" t="str">
        <x:v>PAYROLL DIRECT DEPOSIT - PRPAY-2026-006700</x:v>
      </x:c>
      <x:c r="D1015" s="21" t="str">
        <x:v>Payroll</x:v>
      </x:c>
      <x:c r="E1015" s="18" t="n">
        <x:v>1756</x:v>
      </x:c>
      <x:c r="F1015" s="18"/>
      <x:c r="G1015" s="18" t="n">
        <x:v>-1756</x:v>
      </x:c>
      <x:c r="H1015" s="18" t="n">
        <x:f>H1014+G1015</x:f>
        <x:v>8522177.769999994</x:v>
      </x:c>
    </x:row>
    <x:row r="1016">
      <x:c r="A1016" s="20" t="n">
        <x:v>46182</x:v>
      </x:c>
      <x:c r="B1016" s="21" t="str">
        <x:v>AR00005974</x:v>
      </x:c>
      <x:c r="C1016" s="21" t="str">
        <x:v>CUSTOMER DEPOSIT - Arroyo Inc - CR-2026-005974</x:v>
      </x:c>
      <x:c r="D1016" s="21" t="str">
        <x:v>Customer deposit</x:v>
      </x:c>
      <x:c r="E1016" s="18"/>
      <x:c r="F1016" s="18" t="n">
        <x:v>12.72</x:v>
      </x:c>
      <x:c r="G1016" s="18" t="n">
        <x:v>12.72</x:v>
      </x:c>
      <x:c r="H1016" s="18" t="n">
        <x:f>H1015+G1016</x:f>
        <x:v>8522190.489999995</x:v>
      </x:c>
    </x:row>
    <x:row r="1017">
      <x:c r="A1017" s="20" t="n">
        <x:v>46182</x:v>
      </x:c>
      <x:c r="B1017" s="21" t="str">
        <x:v>AR00005986</x:v>
      </x:c>
      <x:c r="C1017" s="21" t="str">
        <x:v>CUSTOMER DEPOSIT - Nguyen Ltd - CR-2026-005986</x:v>
      </x:c>
      <x:c r="D1017" s="21" t="str">
        <x:v>Customer deposit</x:v>
      </x:c>
      <x:c r="E1017" s="18"/>
      <x:c r="F1017" s="18" t="n">
        <x:v>207.84</x:v>
      </x:c>
      <x:c r="G1017" s="18" t="n">
        <x:v>207.84</x:v>
      </x:c>
      <x:c r="H1017" s="18" t="n">
        <x:f>H1016+G1017</x:f>
        <x:v>8522398.329999994</x:v>
      </x:c>
    </x:row>
    <x:row r="1018">
      <x:c r="A1018" s="20" t="n">
        <x:v>46182</x:v>
      </x:c>
      <x:c r="B1018" s="21" t="str">
        <x:v>AR00006115</x:v>
      </x:c>
      <x:c r="C1018" s="21" t="str">
        <x:v>CUSTOMER DEPOSIT - Benjamin-Vaughn - CR-2026-006115</x:v>
      </x:c>
      <x:c r="D1018" s="21" t="str">
        <x:v>Customer deposit</x:v>
      </x:c>
      <x:c r="E1018" s="18"/>
      <x:c r="F1018" s="18" t="n">
        <x:v>4215.85</x:v>
      </x:c>
      <x:c r="G1018" s="18" t="n">
        <x:v>4215.85</x:v>
      </x:c>
      <x:c r="H1018" s="18" t="n">
        <x:f>H1017+G1018</x:f>
        <x:v>8526614.179999994</x:v>
      </x:c>
    </x:row>
    <x:row r="1019">
      <x:c r="A1019" s="20" t="n">
        <x:v>46182</x:v>
      </x:c>
      <x:c r="B1019" s="21" t="str">
        <x:v>CHK0027118</x:v>
      </x:c>
      <x:c r="C1019" s="21" t="str">
        <x:v>CHECK PAYMENT - Weeks Group - DP-2026-027118</x:v>
      </x:c>
      <x:c r="D1019" s="21" t="str">
        <x:v>Supplier payment</x:v>
      </x:c>
      <x:c r="E1019" s="18" t="n">
        <x:v>195.98</x:v>
      </x:c>
      <x:c r="F1019" s="18"/>
      <x:c r="G1019" s="18" t="n">
        <x:v>-195.98</x:v>
      </x:c>
      <x:c r="H1019" s="18" t="n">
        <x:f>H1018+G1019</x:f>
        <x:v>8526418.199999994</x:v>
      </x:c>
    </x:row>
    <x:row r="1020">
      <x:c r="A1020" s="20" t="n">
        <x:v>46182</x:v>
      </x:c>
      <x:c r="B1020" s="21" t="str">
        <x:v>CHK0027125</x:v>
      </x:c>
      <x:c r="C1020" s="21" t="str">
        <x:v>CHECK PAYMENT - Gomez PLC - DP-2026-027125</x:v>
      </x:c>
      <x:c r="D1020" s="21" t="str">
        <x:v>Supplier payment</x:v>
      </x:c>
      <x:c r="E1020" s="18" t="n">
        <x:v>762.45</x:v>
      </x:c>
      <x:c r="F1020" s="18"/>
      <x:c r="G1020" s="18" t="n">
        <x:v>-762.45</x:v>
      </x:c>
      <x:c r="H1020" s="18" t="n">
        <x:f>H1019+G1020</x:f>
        <x:v>8525655.749999994</x:v>
      </x:c>
    </x:row>
    <x:row r="1021">
      <x:c r="A1021" s="20" t="n">
        <x:v>46182</x:v>
      </x:c>
      <x:c r="B1021" s="21" t="str">
        <x:v>CHK0027830</x:v>
      </x:c>
      <x:c r="C1021" s="21" t="str">
        <x:v>CHECK PAYMENT - Keith PLC - DP-2026-027830</x:v>
      </x:c>
      <x:c r="D1021" s="21" t="str">
        <x:v>Supplier payment</x:v>
      </x:c>
      <x:c r="E1021" s="18" t="n">
        <x:v>421.37</x:v>
      </x:c>
      <x:c r="F1021" s="18"/>
      <x:c r="G1021" s="18" t="n">
        <x:v>-421.37</x:v>
      </x:c>
      <x:c r="H1021" s="18" t="n">
        <x:f>H1020+G1021</x:f>
        <x:v>8525234.379999995</x:v>
      </x:c>
    </x:row>
    <x:row r="1022">
      <x:c r="A1022" s="20" t="n">
        <x:v>46182</x:v>
      </x:c>
      <x:c r="B1022" s="21" t="str">
        <x:v>CHK0027909</x:v>
      </x:c>
      <x:c r="C1022" s="21" t="str">
        <x:v>CHECK PAYMENT - Bell, Pruitt and David - DP-2026-027909</x:v>
      </x:c>
      <x:c r="D1022" s="21" t="str">
        <x:v>Supplier payment</x:v>
      </x:c>
      <x:c r="E1022" s="18" t="n">
        <x:v>2433.32</x:v>
      </x:c>
      <x:c r="F1022" s="18"/>
      <x:c r="G1022" s="18" t="n">
        <x:v>-2433.32</x:v>
      </x:c>
      <x:c r="H1022" s="18" t="n">
        <x:f>H1021+G1022</x:f>
        <x:v>8522801.059999995</x:v>
      </x:c>
    </x:row>
    <x:row r="1023">
      <x:c r="A1023" s="20" t="n">
        <x:v>46182</x:v>
      </x:c>
      <x:c r="B1023" s="21" t="str">
        <x:v>CHK0027968</x:v>
      </x:c>
      <x:c r="C1023" s="21" t="str">
        <x:v>CHECK PAYMENT - Bell, Pruitt and David - DP-2026-027968</x:v>
      </x:c>
      <x:c r="D1023" s="21" t="str">
        <x:v>Supplier payment</x:v>
      </x:c>
      <x:c r="E1023" s="18" t="n">
        <x:v>46.81</x:v>
      </x:c>
      <x:c r="F1023" s="18"/>
      <x:c r="G1023" s="18" t="n">
        <x:v>-46.81</x:v>
      </x:c>
      <x:c r="H1023" s="18" t="n">
        <x:f>H1022+G1023</x:f>
        <x:v>8522754.249999994</x:v>
      </x:c>
    </x:row>
    <x:row r="1024">
      <x:c r="A1024" s="20" t="n">
        <x:v>46182</x:v>
      </x:c>
      <x:c r="B1024" s="21" t="str">
        <x:v>CHK0028120</x:v>
      </x:c>
      <x:c r="C1024" s="21" t="str">
        <x:v>CHECK PAYMENT - Powers-Daniels - DP-2026-028120</x:v>
      </x:c>
      <x:c r="D1024" s="21" t="str">
        <x:v>Supplier payment</x:v>
      </x:c>
      <x:c r="E1024" s="18" t="n">
        <x:v>104.29</x:v>
      </x:c>
      <x:c r="F1024" s="18"/>
      <x:c r="G1024" s="18" t="n">
        <x:v>-104.29</x:v>
      </x:c>
      <x:c r="H1024" s="18" t="n">
        <x:f>H1023+G1024</x:f>
        <x:v>8522649.959999995</x:v>
      </x:c>
    </x:row>
    <x:row r="1025">
      <x:c r="A1025" s="20" t="n">
        <x:v>46182</x:v>
      </x:c>
      <x:c r="B1025" s="21" t="str">
        <x:v>CHK0028125</x:v>
      </x:c>
      <x:c r="C1025" s="21" t="str">
        <x:v>CHECK PAYMENT - Keith PLC - DP-2026-028125</x:v>
      </x:c>
      <x:c r="D1025" s="21" t="str">
        <x:v>Supplier payment</x:v>
      </x:c>
      <x:c r="E1025" s="18" t="n">
        <x:v>206.02</x:v>
      </x:c>
      <x:c r="F1025" s="18"/>
      <x:c r="G1025" s="18" t="n">
        <x:v>-206.02</x:v>
      </x:c>
      <x:c r="H1025" s="18" t="n">
        <x:f>H1024+G1025</x:f>
        <x:v>8522443.939999996</x:v>
      </x:c>
    </x:row>
    <x:row r="1026">
      <x:c r="A1026" s="20" t="n">
        <x:v>46182</x:v>
      </x:c>
      <x:c r="B1026" s="21" t="str">
        <x:v>CHK0028175</x:v>
      </x:c>
      <x:c r="C1026" s="21" t="str">
        <x:v>CHECK PAYMENT - Berger, Stanley and Cooper - DP-2026-028175</x:v>
      </x:c>
      <x:c r="D1026" s="21" t="str">
        <x:v>Supplier payment</x:v>
      </x:c>
      <x:c r="E1026" s="18" t="n">
        <x:v>203.14</x:v>
      </x:c>
      <x:c r="F1026" s="18"/>
      <x:c r="G1026" s="18" t="n">
        <x:v>-203.14</x:v>
      </x:c>
      <x:c r="H1026" s="18" t="n">
        <x:f>H1025+G1026</x:f>
        <x:v>8522240.799999995</x:v>
      </x:c>
    </x:row>
    <x:row r="1027">
      <x:c r="A1027" s="20" t="n">
        <x:v>46182</x:v>
      </x:c>
      <x:c r="B1027" s="21" t="str">
        <x:v>CHK0040056</x:v>
      </x:c>
      <x:c r="C1027" s="21" t="str">
        <x:v>CHECK PAYMENT - Martinez LLC - DP-2026-040056</x:v>
      </x:c>
      <x:c r="D1027" s="21" t="str">
        <x:v>Supplier payment</x:v>
      </x:c>
      <x:c r="E1027" s="18" t="n">
        <x:v>9888.26</x:v>
      </x:c>
      <x:c r="F1027" s="18"/>
      <x:c r="G1027" s="18" t="n">
        <x:v>-9888.26</x:v>
      </x:c>
      <x:c r="H1027" s="18" t="n">
        <x:f>H1026+G1027</x:f>
        <x:v>8512352.539999995</x:v>
      </x:c>
    </x:row>
    <x:row r="1028">
      <x:c r="A1028" s="20" t="n">
        <x:v>46182</x:v>
      </x:c>
      <x:c r="B1028" s="21" t="str">
        <x:v>DP-2026-025599</x:v>
      </x:c>
      <x:c r="C1028" s="21" t="str">
        <x:v>ACH PAYMENT - Fuller LLC - DP-2026-025599</x:v>
      </x:c>
      <x:c r="D1028" s="21" t="str">
        <x:v>Supplier payment</x:v>
      </x:c>
      <x:c r="E1028" s="18" t="n">
        <x:v>26.56</x:v>
      </x:c>
      <x:c r="F1028" s="18"/>
      <x:c r="G1028" s="18" t="n">
        <x:v>-26.56</x:v>
      </x:c>
      <x:c r="H1028" s="18" t="n">
        <x:f>H1027+G1028</x:f>
        <x:v>8512325.979999995</x:v>
      </x:c>
    </x:row>
    <x:row r="1029">
      <x:c r="A1029" s="20" t="n">
        <x:v>46182</x:v>
      </x:c>
      <x:c r="B1029" s="21" t="str">
        <x:v>DP-2026-027119</x:v>
      </x:c>
      <x:c r="C1029" s="21" t="str">
        <x:v>ACH PAYMENT - Peters, Terry and Zimmerman - DP-2026-027119</x:v>
      </x:c>
      <x:c r="D1029" s="21" t="str">
        <x:v>Supplier payment</x:v>
      </x:c>
      <x:c r="E1029" s="18" t="n">
        <x:v>341.41</x:v>
      </x:c>
      <x:c r="F1029" s="18"/>
      <x:c r="G1029" s="18" t="n">
        <x:v>-341.41</x:v>
      </x:c>
      <x:c r="H1029" s="18" t="n">
        <x:f>H1028+G1029</x:f>
        <x:v>8511984.569999995</x:v>
      </x:c>
    </x:row>
    <x:row r="1030">
      <x:c r="A1030" s="20" t="n">
        <x:v>46182</x:v>
      </x:c>
      <x:c r="B1030" s="21" t="str">
        <x:v>DP-2026-027120</x:v>
      </x:c>
      <x:c r="C1030" s="21" t="str">
        <x:v>ACH PAYMENT - Brooks, Johnson and Olson - DP-2026-027120</x:v>
      </x:c>
      <x:c r="D1030" s="21" t="str">
        <x:v>Supplier payment</x:v>
      </x:c>
      <x:c r="E1030" s="18" t="n">
        <x:v>45.71</x:v>
      </x:c>
      <x:c r="F1030" s="18"/>
      <x:c r="G1030" s="18" t="n">
        <x:v>-45.71</x:v>
      </x:c>
      <x:c r="H1030" s="18" t="n">
        <x:f>H1029+G1030</x:f>
        <x:v>8511938.859999994</x:v>
      </x:c>
    </x:row>
    <x:row r="1031">
      <x:c r="A1031" s="20" t="n">
        <x:v>46182</x:v>
      </x:c>
      <x:c r="B1031" s="21" t="str">
        <x:v>DP-2026-027124</x:v>
      </x:c>
      <x:c r="C1031" s="21" t="str">
        <x:v>ACH PAYMENT - Thomas, Gonzalez and Beltran - DP-2026-027124</x:v>
      </x:c>
      <x:c r="D1031" s="21" t="str">
        <x:v>Supplier payment</x:v>
      </x:c>
      <x:c r="E1031" s="18" t="n">
        <x:v>131.71</x:v>
      </x:c>
      <x:c r="F1031" s="18"/>
      <x:c r="G1031" s="18" t="n">
        <x:v>-131.71</x:v>
      </x:c>
      <x:c r="H1031" s="18" t="n">
        <x:f>H1030+G1031</x:f>
        <x:v>8511807.149999993</x:v>
      </x:c>
    </x:row>
    <x:row r="1032">
      <x:c r="A1032" s="20" t="n">
        <x:v>46182</x:v>
      </x:c>
      <x:c r="B1032" s="21" t="str">
        <x:v>DP-2026-027874</x:v>
      </x:c>
      <x:c r="C1032" s="21" t="str">
        <x:v>ACH PAYMENT - Silva, Burton and Arnold - DP-2026-027874</x:v>
      </x:c>
      <x:c r="D1032" s="21" t="str">
        <x:v>Supplier payment</x:v>
      </x:c>
      <x:c r="E1032" s="18" t="n">
        <x:v>1745</x:v>
      </x:c>
      <x:c r="F1032" s="18"/>
      <x:c r="G1032" s="18" t="n">
        <x:v>-1745</x:v>
      </x:c>
      <x:c r="H1032" s="18" t="n">
        <x:f>H1031+G1032</x:f>
        <x:v>8510062.149999993</x:v>
      </x:c>
    </x:row>
    <x:row r="1033">
      <x:c r="A1033" s="20" t="n">
        <x:v>46182</x:v>
      </x:c>
      <x:c r="B1033" s="21" t="str">
        <x:v>DP-2026-027884</x:v>
      </x:c>
      <x:c r="C1033" s="21" t="str">
        <x:v>ACH PAYMENT - Keith PLC - DP-2026-027884</x:v>
      </x:c>
      <x:c r="D1033" s="21" t="str">
        <x:v>Supplier payment</x:v>
      </x:c>
      <x:c r="E1033" s="18" t="n">
        <x:v>11.37</x:v>
      </x:c>
      <x:c r="F1033" s="18"/>
      <x:c r="G1033" s="18" t="n">
        <x:v>-11.37</x:v>
      </x:c>
      <x:c r="H1033" s="18" t="n">
        <x:f>H1032+G1033</x:f>
        <x:v>8510050.779999994</x:v>
      </x:c>
    </x:row>
    <x:row r="1034">
      <x:c r="A1034" s="20" t="n">
        <x:v>46182</x:v>
      </x:c>
      <x:c r="B1034" s="21" t="str">
        <x:v>DP-2026-027887</x:v>
      </x:c>
      <x:c r="C1034" s="21" t="str">
        <x:v>ACH PAYMENT - Bell, Pruitt and David - DP-2026-027887</x:v>
      </x:c>
      <x:c r="D1034" s="21" t="str">
        <x:v>Supplier payment</x:v>
      </x:c>
      <x:c r="E1034" s="18" t="n">
        <x:v>736.08</x:v>
      </x:c>
      <x:c r="F1034" s="18"/>
      <x:c r="G1034" s="18" t="n">
        <x:v>-736.08</x:v>
      </x:c>
      <x:c r="H1034" s="18" t="n">
        <x:f>H1033+G1034</x:f>
        <x:v>8509314.699999994</x:v>
      </x:c>
    </x:row>
    <x:row r="1035">
      <x:c r="A1035" s="20" t="n">
        <x:v>46182</x:v>
      </x:c>
      <x:c r="B1035" s="21" t="str">
        <x:v>DP-2026-027893</x:v>
      </x:c>
      <x:c r="C1035" s="21" t="str">
        <x:v>WIRE TRANSFER PAYMENT - Gay, Clark and Hickman - DP-2026-027893</x:v>
      </x:c>
      <x:c r="D1035" s="21" t="str">
        <x:v>Supplier payment</x:v>
      </x:c>
      <x:c r="E1035" s="18" t="n">
        <x:v>1909.4</x:v>
      </x:c>
      <x:c r="F1035" s="18"/>
      <x:c r="G1035" s="18" t="n">
        <x:v>-1909.4</x:v>
      </x:c>
      <x:c r="H1035" s="18" t="n">
        <x:f>H1034+G1035</x:f>
        <x:v>8507405.299999993</x:v>
      </x:c>
    </x:row>
    <x:row r="1036">
      <x:c r="A1036" s="20" t="n">
        <x:v>46182</x:v>
      </x:c>
      <x:c r="B1036" s="21" t="str">
        <x:v>DP-2026-027894</x:v>
      </x:c>
      <x:c r="C1036" s="21" t="str">
        <x:v>ACH PAYMENT - Perez-Byrd - DP-2026-027894</x:v>
      </x:c>
      <x:c r="D1036" s="21" t="str">
        <x:v>Supplier payment</x:v>
      </x:c>
      <x:c r="E1036" s="18" t="n">
        <x:v>417.65</x:v>
      </x:c>
      <x:c r="F1036" s="18"/>
      <x:c r="G1036" s="18" t="n">
        <x:v>-417.65</x:v>
      </x:c>
      <x:c r="H1036" s="18" t="n">
        <x:f>H1035+G1036</x:f>
        <x:v>8506987.649999993</x:v>
      </x:c>
    </x:row>
    <x:row r="1037">
      <x:c r="A1037" s="20" t="n">
        <x:v>46182</x:v>
      </x:c>
      <x:c r="B1037" s="21" t="str">
        <x:v>DP-2026-027908</x:v>
      </x:c>
      <x:c r="C1037" s="21" t="str">
        <x:v>ACH PAYMENT - Hoffman LLC - DP-2026-027908</x:v>
      </x:c>
      <x:c r="D1037" s="21" t="str">
        <x:v>Supplier payment</x:v>
      </x:c>
      <x:c r="E1037" s="18" t="n">
        <x:v>361.97</x:v>
      </x:c>
      <x:c r="F1037" s="18"/>
      <x:c r="G1037" s="18" t="n">
        <x:v>-361.97</x:v>
      </x:c>
      <x:c r="H1037" s="18" t="n">
        <x:f>H1036+G1037</x:f>
        <x:v>8506625.679999992</x:v>
      </x:c>
    </x:row>
    <x:row r="1038">
      <x:c r="A1038" s="20" t="n">
        <x:v>46182</x:v>
      </x:c>
      <x:c r="B1038" s="21" t="str">
        <x:v>DP-2026-027920</x:v>
      </x:c>
      <x:c r="C1038" s="21" t="str">
        <x:v>WIRE TRANSFER PAYMENT - King Ltd - DP-2026-027920</x:v>
      </x:c>
      <x:c r="D1038" s="21" t="str">
        <x:v>Supplier payment</x:v>
      </x:c>
      <x:c r="E1038" s="18" t="n">
        <x:v>2272.48</x:v>
      </x:c>
      <x:c r="F1038" s="18"/>
      <x:c r="G1038" s="18" t="n">
        <x:v>-2272.48</x:v>
      </x:c>
      <x:c r="H1038" s="18" t="n">
        <x:f>H1037+G1038</x:f>
        <x:v>8504353.199999992</x:v>
      </x:c>
    </x:row>
    <x:row r="1039">
      <x:c r="A1039" s="20" t="n">
        <x:v>46182</x:v>
      </x:c>
      <x:c r="B1039" s="21" t="str">
        <x:v>DP-2026-027958</x:v>
      </x:c>
      <x:c r="C1039" s="21" t="str">
        <x:v>ACH PAYMENT - Thomas, Gonzalez and Beltran - DP-2026-027958</x:v>
      </x:c>
      <x:c r="D1039" s="21" t="str">
        <x:v>Supplier payment</x:v>
      </x:c>
      <x:c r="E1039" s="18" t="n">
        <x:v>406.21</x:v>
      </x:c>
      <x:c r="F1039" s="18"/>
      <x:c r="G1039" s="18" t="n">
        <x:v>-406.21</x:v>
      </x:c>
      <x:c r="H1039" s="18" t="n">
        <x:f>H1038+G1039</x:f>
        <x:v>8503946.98999999</x:v>
      </x:c>
    </x:row>
    <x:row r="1040">
      <x:c r="A1040" s="20" t="n">
        <x:v>46182</x:v>
      </x:c>
      <x:c r="B1040" s="21" t="str">
        <x:v>DP-2026-027999</x:v>
      </x:c>
      <x:c r="C1040" s="21" t="str">
        <x:v>WIRE TRANSFER PAYMENT - Hester Ltd - DP-2026-027999</x:v>
      </x:c>
      <x:c r="D1040" s="21" t="str">
        <x:v>Supplier payment</x:v>
      </x:c>
      <x:c r="E1040" s="18" t="n">
        <x:v>887.96</x:v>
      </x:c>
      <x:c r="F1040" s="18"/>
      <x:c r="G1040" s="18" t="n">
        <x:v>-887.96</x:v>
      </x:c>
      <x:c r="H1040" s="18" t="n">
        <x:f>H1039+G1040</x:f>
        <x:v>8503059.02999999</x:v>
      </x:c>
    </x:row>
    <x:row r="1041">
      <x:c r="A1041" s="20" t="n">
        <x:v>46182</x:v>
      </x:c>
      <x:c r="B1041" s="21" t="str">
        <x:v>DP-2026-028032</x:v>
      </x:c>
      <x:c r="C1041" s="21" t="str">
        <x:v>WIRE TRANSFER PAYMENT - Keith PLC - DP-2026-028032</x:v>
      </x:c>
      <x:c r="D1041" s="21" t="str">
        <x:v>Supplier payment</x:v>
      </x:c>
      <x:c r="E1041" s="18" t="n">
        <x:v>377.33</x:v>
      </x:c>
      <x:c r="F1041" s="18"/>
      <x:c r="G1041" s="18" t="n">
        <x:v>-377.33</x:v>
      </x:c>
      <x:c r="H1041" s="18" t="n">
        <x:f>H1040+G1041</x:f>
        <x:v>8502681.69999999</x:v>
      </x:c>
    </x:row>
    <x:row r="1042">
      <x:c r="A1042" s="20" t="n">
        <x:v>46182</x:v>
      </x:c>
      <x:c r="B1042" s="21" t="str">
        <x:v>DP-2026-028044</x:v>
      </x:c>
      <x:c r="C1042" s="21" t="str">
        <x:v>WIRE TRANSFER PAYMENT - Berger, Stanley and Cooper - DP-2026-028044</x:v>
      </x:c>
      <x:c r="D1042" s="21" t="str">
        <x:v>Supplier payment</x:v>
      </x:c>
      <x:c r="E1042" s="18" t="n">
        <x:v>320.3</x:v>
      </x:c>
      <x:c r="F1042" s="18"/>
      <x:c r="G1042" s="18" t="n">
        <x:v>-320.3</x:v>
      </x:c>
      <x:c r="H1042" s="18" t="n">
        <x:f>H1041+G1042</x:f>
        <x:v>8502361.39999999</x:v>
      </x:c>
    </x:row>
    <x:row r="1043">
      <x:c r="A1043" s="20" t="n">
        <x:v>46182</x:v>
      </x:c>
      <x:c r="B1043" s="21" t="str">
        <x:v>DP-2026-028046</x:v>
      </x:c>
      <x:c r="C1043" s="21" t="str">
        <x:v>ACH PAYMENT - Cross, Alexander and Romero - DP-2026-028046</x:v>
      </x:c>
      <x:c r="D1043" s="21" t="str">
        <x:v>Supplier payment</x:v>
      </x:c>
      <x:c r="E1043" s="18" t="n">
        <x:v>149.1</x:v>
      </x:c>
      <x:c r="F1043" s="18"/>
      <x:c r="G1043" s="18" t="n">
        <x:v>-149.1</x:v>
      </x:c>
      <x:c r="H1043" s="18" t="n">
        <x:f>H1042+G1043</x:f>
        <x:v>8502212.29999999</x:v>
      </x:c>
    </x:row>
    <x:row r="1044">
      <x:c r="A1044" s="20" t="n">
        <x:v>46182</x:v>
      </x:c>
      <x:c r="B1044" s="21" t="str">
        <x:v>DP-2026-028100</x:v>
      </x:c>
      <x:c r="C1044" s="21" t="str">
        <x:v>ACH PAYMENT - Powers-Daniels - DP-2026-028100</x:v>
      </x:c>
      <x:c r="D1044" s="21" t="str">
        <x:v>Supplier payment</x:v>
      </x:c>
      <x:c r="E1044" s="18" t="n">
        <x:v>737.84</x:v>
      </x:c>
      <x:c r="F1044" s="18"/>
      <x:c r="G1044" s="18" t="n">
        <x:v>-737.84</x:v>
      </x:c>
      <x:c r="H1044" s="18" t="n">
        <x:f>H1043+G1044</x:f>
        <x:v>8501474.45999999</x:v>
      </x:c>
    </x:row>
    <x:row r="1045">
      <x:c r="A1045" s="20" t="n">
        <x:v>46182</x:v>
      </x:c>
      <x:c r="B1045" s="21" t="str">
        <x:v>DP-2026-028102</x:v>
      </x:c>
      <x:c r="C1045" s="21" t="str">
        <x:v>WIRE TRANSFER PAYMENT - Brooks, Johnson and Olson - DP-2026-028102</x:v>
      </x:c>
      <x:c r="D1045" s="21" t="str">
        <x:v>Supplier payment</x:v>
      </x:c>
      <x:c r="E1045" s="18" t="n">
        <x:v>1440.45</x:v>
      </x:c>
      <x:c r="F1045" s="18"/>
      <x:c r="G1045" s="18" t="n">
        <x:v>-1440.45</x:v>
      </x:c>
      <x:c r="H1045" s="18" t="n">
        <x:f>H1044+G1045</x:f>
        <x:v>8500034.00999999</x:v>
      </x:c>
    </x:row>
    <x:row r="1046">
      <x:c r="A1046" s="20" t="n">
        <x:v>46182</x:v>
      </x:c>
      <x:c r="B1046" s="21" t="str">
        <x:v>DP-2026-028146</x:v>
      </x:c>
      <x:c r="C1046" s="21" t="str">
        <x:v>ACH PAYMENT - Lindsey and Sons - DP-2026-028146</x:v>
      </x:c>
      <x:c r="D1046" s="21" t="str">
        <x:v>Supplier payment</x:v>
      </x:c>
      <x:c r="E1046" s="18" t="n">
        <x:v>313.84</x:v>
      </x:c>
      <x:c r="F1046" s="18"/>
      <x:c r="G1046" s="18" t="n">
        <x:v>-313.84</x:v>
      </x:c>
      <x:c r="H1046" s="18" t="n">
        <x:f>H1045+G1046</x:f>
        <x:v>8499720.16999999</x:v>
      </x:c>
    </x:row>
    <x:row r="1047">
      <x:c r="A1047" s="20" t="n">
        <x:v>46183</x:v>
      </x:c>
      <x:c r="B1047" s="21" t="str">
        <x:v>AR00005930</x:v>
      </x:c>
      <x:c r="C1047" s="21" t="str">
        <x:v>CUSTOMER DEPOSIT - Chavez-Paul - CR-2026-005930</x:v>
      </x:c>
      <x:c r="D1047" s="21" t="str">
        <x:v>Customer deposit</x:v>
      </x:c>
      <x:c r="E1047" s="18"/>
      <x:c r="F1047" s="18" t="n">
        <x:v>2058.56</x:v>
      </x:c>
      <x:c r="G1047" s="18" t="n">
        <x:v>2058.56</x:v>
      </x:c>
      <x:c r="H1047" s="18" t="n">
        <x:f>H1046+G1047</x:f>
        <x:v>8501778.729999991</x:v>
      </x:c>
    </x:row>
    <x:row r="1048">
      <x:c r="A1048" s="20" t="n">
        <x:v>46183</x:v>
      </x:c>
      <x:c r="B1048" s="21" t="str">
        <x:v>AR00005933</x:v>
      </x:c>
      <x:c r="C1048" s="21" t="str">
        <x:v>CUSTOMER DEPOSIT - Taylor-Cannon - CR-2026-005933</x:v>
      </x:c>
      <x:c r="D1048" s="21" t="str">
        <x:v>Customer deposit</x:v>
      </x:c>
      <x:c r="E1048" s="18"/>
      <x:c r="F1048" s="18" t="n">
        <x:v>1249.05</x:v>
      </x:c>
      <x:c r="G1048" s="18" t="n">
        <x:v>1249.05</x:v>
      </x:c>
      <x:c r="H1048" s="18" t="n">
        <x:f>H1047+G1048</x:f>
        <x:v>8503027.779999992</x:v>
      </x:c>
    </x:row>
    <x:row r="1049">
      <x:c r="A1049" s="20" t="n">
        <x:v>46183</x:v>
      </x:c>
      <x:c r="B1049" s="21" t="str">
        <x:v>AR00005944</x:v>
      </x:c>
      <x:c r="C1049" s="21" t="str">
        <x:v>CUSTOMER DEPOSIT - Estes Inc - CR-2026-005944</x:v>
      </x:c>
      <x:c r="D1049" s="21" t="str">
        <x:v>Customer deposit</x:v>
      </x:c>
      <x:c r="E1049" s="18"/>
      <x:c r="F1049" s="18" t="n">
        <x:v>9387.66</x:v>
      </x:c>
      <x:c r="G1049" s="18" t="n">
        <x:v>9387.66</x:v>
      </x:c>
      <x:c r="H1049" s="18" t="n">
        <x:f>H1048+G1049</x:f>
        <x:v>8512415.439999992</x:v>
      </x:c>
    </x:row>
    <x:row r="1050">
      <x:c r="A1050" s="20" t="n">
        <x:v>46183</x:v>
      </x:c>
      <x:c r="B1050" s="21" t="str">
        <x:v>AR00005950</x:v>
      </x:c>
      <x:c r="C1050" s="21" t="str">
        <x:v>CUSTOMER DEPOSIT - Zamora, Thompson and Brooks - CR-2026-005950</x:v>
      </x:c>
      <x:c r="D1050" s="21" t="str">
        <x:v>Customer deposit</x:v>
      </x:c>
      <x:c r="E1050" s="18"/>
      <x:c r="F1050" s="18" t="n">
        <x:v>7182.5</x:v>
      </x:c>
      <x:c r="G1050" s="18" t="n">
        <x:v>7182.5</x:v>
      </x:c>
      <x:c r="H1050" s="18" t="n">
        <x:f>H1049+G1050</x:f>
        <x:v>8519597.939999992</x:v>
      </x:c>
    </x:row>
    <x:row r="1051">
      <x:c r="A1051" s="20" t="n">
        <x:v>46183</x:v>
      </x:c>
      <x:c r="B1051" s="21" t="str">
        <x:v>AR00005951</x:v>
      </x:c>
      <x:c r="C1051" s="21" t="str">
        <x:v>CUSTOMER DEPOSIT - Kelly-Moreno - CR-2026-005951</x:v>
      </x:c>
      <x:c r="D1051" s="21" t="str">
        <x:v>Customer deposit</x:v>
      </x:c>
      <x:c r="E1051" s="18"/>
      <x:c r="F1051" s="18" t="n">
        <x:v>6858.56</x:v>
      </x:c>
      <x:c r="G1051" s="18" t="n">
        <x:v>6858.56</x:v>
      </x:c>
      <x:c r="H1051" s="18" t="n">
        <x:f>H1050+G1051</x:f>
        <x:v>8526456.499999993</x:v>
      </x:c>
    </x:row>
    <x:row r="1052">
      <x:c r="A1052" s="20" t="n">
        <x:v>46183</x:v>
      </x:c>
      <x:c r="B1052" s="21" t="str">
        <x:v>AR00005959</x:v>
      </x:c>
      <x:c r="C1052" s="21" t="str">
        <x:v>CUSTOMER DEPOSIT - Fox, Nelson and Richard - CR-2026-005959</x:v>
      </x:c>
      <x:c r="D1052" s="21" t="str">
        <x:v>Customer deposit</x:v>
      </x:c>
      <x:c r="E1052" s="18"/>
      <x:c r="F1052" s="18" t="n">
        <x:v>7036.76</x:v>
      </x:c>
      <x:c r="G1052" s="18" t="n">
        <x:v>7036.76</x:v>
      </x:c>
      <x:c r="H1052" s="18" t="n">
        <x:f>H1051+G1052</x:f>
        <x:v>8533493.259999992</x:v>
      </x:c>
    </x:row>
    <x:row r="1053">
      <x:c r="A1053" s="20" t="n">
        <x:v>46183</x:v>
      </x:c>
      <x:c r="B1053" s="21" t="str">
        <x:v>AR00005983</x:v>
      </x:c>
      <x:c r="C1053" s="21" t="str">
        <x:v>CUSTOMER DEPOSIT - Hunter-Hamilton - CR-2026-005983</x:v>
      </x:c>
      <x:c r="D1053" s="21" t="str">
        <x:v>Customer deposit</x:v>
      </x:c>
      <x:c r="E1053" s="18"/>
      <x:c r="F1053" s="18" t="n">
        <x:v>2109.55</x:v>
      </x:c>
      <x:c r="G1053" s="18" t="n">
        <x:v>2109.55</x:v>
      </x:c>
      <x:c r="H1053" s="18" t="n">
        <x:f>H1052+G1053</x:f>
        <x:v>8535602.809999993</x:v>
      </x:c>
    </x:row>
    <x:row r="1054">
      <x:c r="A1054" s="20" t="n">
        <x:v>46183</x:v>
      </x:c>
      <x:c r="B1054" s="21" t="str">
        <x:v>AR00005993</x:v>
      </x:c>
      <x:c r="C1054" s="21" t="str">
        <x:v>CUSTOMER DEPOSIT - Perez-Smith - CR-2026-005993</x:v>
      </x:c>
      <x:c r="D1054" s="21" t="str">
        <x:v>Customer deposit</x:v>
      </x:c>
      <x:c r="E1054" s="18"/>
      <x:c r="F1054" s="18" t="n">
        <x:v>4692.64</x:v>
      </x:c>
      <x:c r="G1054" s="18" t="n">
        <x:v>4692.64</x:v>
      </x:c>
      <x:c r="H1054" s="18" t="n">
        <x:f>H1053+G1054</x:f>
        <x:v>8540295.449999994</x:v>
      </x:c>
    </x:row>
    <x:row r="1055">
      <x:c r="A1055" s="20" t="n">
        <x:v>46183</x:v>
      </x:c>
      <x:c r="B1055" s="21" t="str">
        <x:v>AR00006000</x:v>
      </x:c>
      <x:c r="C1055" s="21" t="str">
        <x:v>CUSTOMER DEPOSIT - Burton-Beard - CR-2026-006000</x:v>
      </x:c>
      <x:c r="D1055" s="21" t="str">
        <x:v>Customer deposit</x:v>
      </x:c>
      <x:c r="E1055" s="18"/>
      <x:c r="F1055" s="18" t="n">
        <x:v>12192.07</x:v>
      </x:c>
      <x:c r="G1055" s="18" t="n">
        <x:v>12192.07</x:v>
      </x:c>
      <x:c r="H1055" s="18" t="n">
        <x:f>H1054+G1055</x:f>
        <x:v>8552487.519999994</x:v>
      </x:c>
    </x:row>
    <x:row r="1056">
      <x:c r="A1056" s="20" t="n">
        <x:v>46183</x:v>
      </x:c>
      <x:c r="B1056" s="21" t="str">
        <x:v>AR00006005</x:v>
      </x:c>
      <x:c r="C1056" s="21" t="str">
        <x:v>CUSTOMER DEPOSIT - Miller, Johnson and Marshall - CR-2026-006005</x:v>
      </x:c>
      <x:c r="D1056" s="21" t="str">
        <x:v>Customer deposit</x:v>
      </x:c>
      <x:c r="E1056" s="18"/>
      <x:c r="F1056" s="18" t="n">
        <x:v>2149.13</x:v>
      </x:c>
      <x:c r="G1056" s="18" t="n">
        <x:v>2149.13</x:v>
      </x:c>
      <x:c r="H1056" s="18" t="n">
        <x:f>H1055+G1056</x:f>
        <x:v>8554636.649999995</x:v>
      </x:c>
    </x:row>
    <x:row r="1057">
      <x:c r="A1057" s="20" t="n">
        <x:v>46183</x:v>
      </x:c>
      <x:c r="B1057" s="21" t="str">
        <x:v>AR00006015</x:v>
      </x:c>
      <x:c r="C1057" s="21" t="str">
        <x:v>CUSTOMER DEPOSIT - Rodriguez and Sons - CR-2026-006015</x:v>
      </x:c>
      <x:c r="D1057" s="21" t="str">
        <x:v>Customer deposit</x:v>
      </x:c>
      <x:c r="E1057" s="18"/>
      <x:c r="F1057" s="18" t="n">
        <x:v>38420.13</x:v>
      </x:c>
      <x:c r="G1057" s="18" t="n">
        <x:v>38420.13</x:v>
      </x:c>
      <x:c r="H1057" s="18" t="n">
        <x:f>H1056+G1057</x:f>
        <x:v>8593056.779999996</x:v>
      </x:c>
    </x:row>
    <x:row r="1058">
      <x:c r="A1058" s="20" t="n">
        <x:v>46183</x:v>
      </x:c>
      <x:c r="B1058" s="21" t="str">
        <x:v>AR00006023</x:v>
      </x:c>
      <x:c r="C1058" s="21" t="str">
        <x:v>CUSTOMER DEPOSIT - Young Group - CR-2026-006023</x:v>
      </x:c>
      <x:c r="D1058" s="21" t="str">
        <x:v>Customer deposit</x:v>
      </x:c>
      <x:c r="E1058" s="18"/>
      <x:c r="F1058" s="18" t="n">
        <x:v>1212.16</x:v>
      </x:c>
      <x:c r="G1058" s="18" t="n">
        <x:v>1212.16</x:v>
      </x:c>
      <x:c r="H1058" s="18" t="n">
        <x:f>H1057+G1058</x:f>
        <x:v>8594268.939999996</x:v>
      </x:c>
    </x:row>
    <x:row r="1059">
      <x:c r="A1059" s="20" t="n">
        <x:v>46183</x:v>
      </x:c>
      <x:c r="B1059" s="21" t="str">
        <x:v>AR00006055</x:v>
      </x:c>
      <x:c r="C1059" s="21" t="str">
        <x:v>CUSTOMER DEPOSIT - Glenn-Estrada - CR-2026-006055</x:v>
      </x:c>
      <x:c r="D1059" s="21" t="str">
        <x:v>Customer deposit</x:v>
      </x:c>
      <x:c r="E1059" s="18"/>
      <x:c r="F1059" s="18" t="n">
        <x:v>88473.33</x:v>
      </x:c>
      <x:c r="G1059" s="18" t="n">
        <x:v>88473.33</x:v>
      </x:c>
      <x:c r="H1059" s="18" t="n">
        <x:f>H1058+G1059</x:f>
        <x:v>8682742.269999996</x:v>
      </x:c>
    </x:row>
    <x:row r="1060">
      <x:c r="A1060" s="20" t="n">
        <x:v>46183</x:v>
      </x:c>
      <x:c r="B1060" s="21" t="str">
        <x:v>AR00006058</x:v>
      </x:c>
      <x:c r="C1060" s="21" t="str">
        <x:v>CUSTOMER DEPOSIT - Wright PLC - CR-2026-006058</x:v>
      </x:c>
      <x:c r="D1060" s="21" t="str">
        <x:v>Customer deposit</x:v>
      </x:c>
      <x:c r="E1060" s="18"/>
      <x:c r="F1060" s="18" t="n">
        <x:v>34988.04</x:v>
      </x:c>
      <x:c r="G1060" s="18" t="n">
        <x:v>34988.04</x:v>
      </x:c>
      <x:c r="H1060" s="18" t="n">
        <x:f>H1059+G1060</x:f>
        <x:v>8717730.309999995</x:v>
      </x:c>
    </x:row>
    <x:row r="1061">
      <x:c r="A1061" s="20" t="n">
        <x:v>46183</x:v>
      </x:c>
      <x:c r="B1061" s="21" t="str">
        <x:v>AR00006060</x:v>
      </x:c>
      <x:c r="C1061" s="21" t="str">
        <x:v>CUSTOMER DEPOSIT - Ruiz-Pratt - CR-2026-006060</x:v>
      </x:c>
      <x:c r="D1061" s="21" t="str">
        <x:v>Customer deposit</x:v>
      </x:c>
      <x:c r="E1061" s="18"/>
      <x:c r="F1061" s="18" t="n">
        <x:v>7998.13</x:v>
      </x:c>
      <x:c r="G1061" s="18" t="n">
        <x:v>7998.13</x:v>
      </x:c>
      <x:c r="H1061" s="18" t="n">
        <x:f>H1060+G1061</x:f>
        <x:v>8725728.439999996</x:v>
      </x:c>
    </x:row>
    <x:row r="1062">
      <x:c r="A1062" s="20" t="n">
        <x:v>46183</x:v>
      </x:c>
      <x:c r="B1062" s="21" t="str">
        <x:v>AR00006061</x:v>
      </x:c>
      <x:c r="C1062" s="21" t="str">
        <x:v>CUSTOMER DEPOSIT - Sanchez LLC - CR-2026-006061</x:v>
      </x:c>
      <x:c r="D1062" s="21" t="str">
        <x:v>Customer deposit</x:v>
      </x:c>
      <x:c r="E1062" s="18"/>
      <x:c r="F1062" s="18" t="n">
        <x:v>55222.53</x:v>
      </x:c>
      <x:c r="G1062" s="18" t="n">
        <x:v>55222.53</x:v>
      </x:c>
      <x:c r="H1062" s="18" t="n">
        <x:f>H1061+G1062</x:f>
        <x:v>8780950.969999995</x:v>
      </x:c>
    </x:row>
    <x:row r="1063">
      <x:c r="A1063" s="20" t="n">
        <x:v>46183</x:v>
      </x:c>
      <x:c r="B1063" s="21" t="str">
        <x:v>AR00006066</x:v>
      </x:c>
      <x:c r="C1063" s="21" t="str">
        <x:v>CUSTOMER DEPOSIT - Horton and Sons - CR-2026-006066</x:v>
      </x:c>
      <x:c r="D1063" s="21" t="str">
        <x:v>Customer deposit</x:v>
      </x:c>
      <x:c r="E1063" s="18"/>
      <x:c r="F1063" s="18" t="n">
        <x:v>15323.03</x:v>
      </x:c>
      <x:c r="G1063" s="18" t="n">
        <x:v>15323.03</x:v>
      </x:c>
      <x:c r="H1063" s="18" t="n">
        <x:f>H1062+G1063</x:f>
        <x:v>8796273.999999994</x:v>
      </x:c>
    </x:row>
    <x:row r="1064">
      <x:c r="A1064" s="20" t="n">
        <x:v>46183</x:v>
      </x:c>
      <x:c r="B1064" s="21" t="str">
        <x:v>AR00006105</x:v>
      </x:c>
      <x:c r="C1064" s="21" t="str">
        <x:v>CUSTOMER DEPOSIT - Smith, James and Burgess - CR-2026-006105</x:v>
      </x:c>
      <x:c r="D1064" s="21" t="str">
        <x:v>Customer deposit</x:v>
      </x:c>
      <x:c r="E1064" s="18"/>
      <x:c r="F1064" s="18" t="n">
        <x:v>15784.92</x:v>
      </x:c>
      <x:c r="G1064" s="18" t="n">
        <x:v>15784.92</x:v>
      </x:c>
      <x:c r="H1064" s="18" t="n">
        <x:f>H1063+G1064</x:f>
        <x:v>8812058.919999994</x:v>
      </x:c>
    </x:row>
    <x:row r="1065">
      <x:c r="A1065" s="20" t="n">
        <x:v>46183</x:v>
      </x:c>
      <x:c r="B1065" s="21" t="str">
        <x:v>AR00006119</x:v>
      </x:c>
      <x:c r="C1065" s="21" t="str">
        <x:v>CUSTOMER DEPOSIT - Willis and Sons - CR-2026-006119</x:v>
      </x:c>
      <x:c r="D1065" s="21" t="str">
        <x:v>Customer deposit</x:v>
      </x:c>
      <x:c r="E1065" s="18"/>
      <x:c r="F1065" s="18" t="n">
        <x:v>33417.5</x:v>
      </x:c>
      <x:c r="G1065" s="18" t="n">
        <x:v>33417.5</x:v>
      </x:c>
      <x:c r="H1065" s="18" t="n">
        <x:f>H1064+G1065</x:f>
        <x:v>8845476.419999994</x:v>
      </x:c>
    </x:row>
    <x:row r="1066">
      <x:c r="A1066" s="20" t="n">
        <x:v>46183</x:v>
      </x:c>
      <x:c r="B1066" s="21" t="str">
        <x:v>CHK0025616</x:v>
      </x:c>
      <x:c r="C1066" s="21" t="str">
        <x:v>CHECK PAYMENT - Hernandez, Melendez and Mcdowell - DP-2026-025616</x:v>
      </x:c>
      <x:c r="D1066" s="21" t="str">
        <x:v>Supplier payment</x:v>
      </x:c>
      <x:c r="E1066" s="18" t="n">
        <x:v>230.46</x:v>
      </x:c>
      <x:c r="F1066" s="18"/>
      <x:c r="G1066" s="18" t="n">
        <x:v>-230.46</x:v>
      </x:c>
      <x:c r="H1066" s="18" t="n">
        <x:f>H1065+G1066</x:f>
        <x:v>8845245.959999993</x:v>
      </x:c>
    </x:row>
    <x:row r="1067">
      <x:c r="A1067" s="20" t="n">
        <x:v>46183</x:v>
      </x:c>
      <x:c r="B1067" s="21" t="str">
        <x:v>CHK0027888</x:v>
      </x:c>
      <x:c r="C1067" s="21" t="str">
        <x:v>CHECK PAYMENT - Keith PLC - DP-2026-027888</x:v>
      </x:c>
      <x:c r="D1067" s="21" t="str">
        <x:v>Supplier payment</x:v>
      </x:c>
      <x:c r="E1067" s="18" t="n">
        <x:v>417.38</x:v>
      </x:c>
      <x:c r="F1067" s="18"/>
      <x:c r="G1067" s="18" t="n">
        <x:v>-417.38</x:v>
      </x:c>
      <x:c r="H1067" s="18" t="n">
        <x:f>H1066+G1067</x:f>
        <x:v>8844828.579999993</x:v>
      </x:c>
    </x:row>
    <x:row r="1068">
      <x:c r="A1068" s="20" t="n">
        <x:v>46183</x:v>
      </x:c>
      <x:c r="B1068" s="21" t="str">
        <x:v>CHK0027912</x:v>
      </x:c>
      <x:c r="C1068" s="21" t="str">
        <x:v>CHECK PAYMENT - Lopez, Sheppard and Ramirez - DP-2026-027912</x:v>
      </x:c>
      <x:c r="D1068" s="21" t="str">
        <x:v>Supplier payment</x:v>
      </x:c>
      <x:c r="E1068" s="18" t="n">
        <x:v>2649.84</x:v>
      </x:c>
      <x:c r="F1068" s="18"/>
      <x:c r="G1068" s="18" t="n">
        <x:v>-2649.84</x:v>
      </x:c>
      <x:c r="H1068" s="18" t="n">
        <x:f>H1067+G1068</x:f>
        <x:v>8842178.739999993</x:v>
      </x:c>
    </x:row>
    <x:row r="1069">
      <x:c r="A1069" s="20" t="n">
        <x:v>46183</x:v>
      </x:c>
      <x:c r="B1069" s="21" t="str">
        <x:v>CHK0027913</x:v>
      </x:c>
      <x:c r="C1069" s="21" t="str">
        <x:v>CHECK PAYMENT - Bell, Pruitt and David - DP-2026-027913</x:v>
      </x:c>
      <x:c r="D1069" s="21" t="str">
        <x:v>Supplier payment</x:v>
      </x:c>
      <x:c r="E1069" s="18" t="n">
        <x:v>6762.98</x:v>
      </x:c>
      <x:c r="F1069" s="18"/>
      <x:c r="G1069" s="18" t="n">
        <x:v>-6762.98</x:v>
      </x:c>
      <x:c r="H1069" s="18" t="n">
        <x:f>H1068+G1069</x:f>
        <x:v>8835415.759999992</x:v>
      </x:c>
    </x:row>
    <x:row r="1070">
      <x:c r="A1070" s="20" t="n">
        <x:v>46183</x:v>
      </x:c>
      <x:c r="B1070" s="21" t="str">
        <x:v>CHK0028014</x:v>
      </x:c>
      <x:c r="C1070" s="21" t="str">
        <x:v>CHECK PAYMENT - Collins-Johnson - DP-2026-028014</x:v>
      </x:c>
      <x:c r="D1070" s="21" t="str">
        <x:v>Supplier payment</x:v>
      </x:c>
      <x:c r="E1070" s="18" t="n">
        <x:v>714.91</x:v>
      </x:c>
      <x:c r="F1070" s="18"/>
      <x:c r="G1070" s="18" t="n">
        <x:v>-714.91</x:v>
      </x:c>
      <x:c r="H1070" s="18" t="n">
        <x:f>H1069+G1070</x:f>
        <x:v>8834700.849999992</x:v>
      </x:c>
    </x:row>
    <x:row r="1071">
      <x:c r="A1071" s="20" t="n">
        <x:v>46183</x:v>
      </x:c>
      <x:c r="B1071" s="21" t="str">
        <x:v>CHK0028121</x:v>
      </x:c>
      <x:c r="C1071" s="21" t="str">
        <x:v>CHECK PAYMENT - Martinez LLC - DP-2026-028121</x:v>
      </x:c>
      <x:c r="D1071" s="21" t="str">
        <x:v>Supplier payment</x:v>
      </x:c>
      <x:c r="E1071" s="18" t="n">
        <x:v>268.75</x:v>
      </x:c>
      <x:c r="F1071" s="18"/>
      <x:c r="G1071" s="18" t="n">
        <x:v>-268.75</x:v>
      </x:c>
      <x:c r="H1071" s="18" t="n">
        <x:f>H1070+G1071</x:f>
        <x:v>8834432.099999992</x:v>
      </x:c>
    </x:row>
    <x:row r="1072">
      <x:c r="A1072" s="20" t="n">
        <x:v>46183</x:v>
      </x:c>
      <x:c r="B1072" s="21" t="str">
        <x:v>CHK0028122</x:v>
      </x:c>
      <x:c r="C1072" s="21" t="str">
        <x:v>CHECK PAYMENT - Harris, Taylor and Perkins - DP-2026-028122</x:v>
      </x:c>
      <x:c r="D1072" s="21" t="str">
        <x:v>Supplier payment</x:v>
      </x:c>
      <x:c r="E1072" s="18" t="n">
        <x:v>9145.14</x:v>
      </x:c>
      <x:c r="F1072" s="18"/>
      <x:c r="G1072" s="18" t="n">
        <x:v>-9145.14</x:v>
      </x:c>
      <x:c r="H1072" s="18" t="n">
        <x:f>H1071+G1072</x:f>
        <x:v>8825286.959999992</x:v>
      </x:c>
    </x:row>
    <x:row r="1073">
      <x:c r="A1073" s="20" t="n">
        <x:v>46183</x:v>
      </x:c>
      <x:c r="B1073" s="21" t="str">
        <x:v>CHK0028124</x:v>
      </x:c>
      <x:c r="C1073" s="21" t="str">
        <x:v>CHECK PAYMENT - Hernandez, Melendez and Mcdowell - DP-2026-028124</x:v>
      </x:c>
      <x:c r="D1073" s="21" t="str">
        <x:v>Supplier payment</x:v>
      </x:c>
      <x:c r="E1073" s="18" t="n">
        <x:v>154.68</x:v>
      </x:c>
      <x:c r="F1073" s="18"/>
      <x:c r="G1073" s="18" t="n">
        <x:v>-154.68</x:v>
      </x:c>
      <x:c r="H1073" s="18" t="n">
        <x:f>H1072+G1073</x:f>
        <x:v>8825132.279999992</x:v>
      </x:c>
    </x:row>
    <x:row r="1074">
      <x:c r="A1074" s="20" t="n">
        <x:v>46183</x:v>
      </x:c>
      <x:c r="B1074" s="21" t="str">
        <x:v>CHK0028151</x:v>
      </x:c>
      <x:c r="C1074" s="21" t="str">
        <x:v>CHECK PAYMENT - Velasquez-Baxter - DP-2026-028151</x:v>
      </x:c>
      <x:c r="D1074" s="21" t="str">
        <x:v>Supplier payment</x:v>
      </x:c>
      <x:c r="E1074" s="18" t="n">
        <x:v>473.08</x:v>
      </x:c>
      <x:c r="F1074" s="18"/>
      <x:c r="G1074" s="18" t="n">
        <x:v>-473.08</x:v>
      </x:c>
      <x:c r="H1074" s="18" t="n">
        <x:f>H1073+G1074</x:f>
        <x:v>8824659.199999992</x:v>
      </x:c>
    </x:row>
    <x:row r="1075">
      <x:c r="A1075" s="20" t="n">
        <x:v>46183</x:v>
      </x:c>
      <x:c r="B1075" s="21" t="str">
        <x:v>DP-2026-025601</x:v>
      </x:c>
      <x:c r="C1075" s="21" t="str">
        <x:v>ACH PAYMENT - Lucas, Green and Richardson - DP-2026-025601</x:v>
      </x:c>
      <x:c r="D1075" s="21" t="str">
        <x:v>Supplier payment</x:v>
      </x:c>
      <x:c r="E1075" s="18" t="n">
        <x:v>720.07</x:v>
      </x:c>
      <x:c r="F1075" s="18"/>
      <x:c r="G1075" s="18" t="n">
        <x:v>-720.07</x:v>
      </x:c>
      <x:c r="H1075" s="18" t="n">
        <x:f>H1074+G1075</x:f>
        <x:v>8823939.129999992</x:v>
      </x:c>
    </x:row>
    <x:row r="1076">
      <x:c r="A1076" s="20" t="n">
        <x:v>46183</x:v>
      </x:c>
      <x:c r="B1076" s="21" t="str">
        <x:v>DP-2026-025602</x:v>
      </x:c>
      <x:c r="C1076" s="21" t="str">
        <x:v>ACH PAYMENT - Hoffman LLC - DP-2026-025602</x:v>
      </x:c>
      <x:c r="D1076" s="21" t="str">
        <x:v>Supplier payment</x:v>
      </x:c>
      <x:c r="E1076" s="18" t="n">
        <x:v>467.44</x:v>
      </x:c>
      <x:c r="F1076" s="18"/>
      <x:c r="G1076" s="18" t="n">
        <x:v>-467.44</x:v>
      </x:c>
      <x:c r="H1076" s="18" t="n">
        <x:f>H1075+G1076</x:f>
        <x:v>8823471.689999992</x:v>
      </x:c>
    </x:row>
    <x:row r="1077">
      <x:c r="A1077" s="20" t="n">
        <x:v>46183</x:v>
      </x:c>
      <x:c r="B1077" s="21" t="str">
        <x:v>DP-2026-025607</x:v>
      </x:c>
      <x:c r="C1077" s="21" t="str">
        <x:v>ACH PAYMENT - Hester Ltd - DP-2026-025607</x:v>
      </x:c>
      <x:c r="D1077" s="21" t="str">
        <x:v>Supplier payment</x:v>
      </x:c>
      <x:c r="E1077" s="18" t="n">
        <x:v>403.23</x:v>
      </x:c>
      <x:c r="F1077" s="18"/>
      <x:c r="G1077" s="18" t="n">
        <x:v>-403.23</x:v>
      </x:c>
      <x:c r="H1077" s="18" t="n">
        <x:f>H1076+G1077</x:f>
        <x:v>8823068.459999992</x:v>
      </x:c>
    </x:row>
    <x:row r="1078">
      <x:c r="A1078" s="20" t="n">
        <x:v>46183</x:v>
      </x:c>
      <x:c r="B1078" s="21" t="str">
        <x:v>DP-2026-025608</x:v>
      </x:c>
      <x:c r="C1078" s="21" t="str">
        <x:v>ACH PAYMENT - Thomas LLC - DP-2026-025608</x:v>
      </x:c>
      <x:c r="D1078" s="21" t="str">
        <x:v>Supplier payment</x:v>
      </x:c>
      <x:c r="E1078" s="18" t="n">
        <x:v>93.9</x:v>
      </x:c>
      <x:c r="F1078" s="18"/>
      <x:c r="G1078" s="18" t="n">
        <x:v>-93.9</x:v>
      </x:c>
      <x:c r="H1078" s="18" t="n">
        <x:f>H1077+G1078</x:f>
        <x:v>8822974.559999991</x:v>
      </x:c>
    </x:row>
    <x:row r="1079">
      <x:c r="A1079" s="20" t="n">
        <x:v>46183</x:v>
      </x:c>
      <x:c r="B1079" s="21" t="str">
        <x:v>DP-2026-025613</x:v>
      </x:c>
      <x:c r="C1079" s="21" t="str">
        <x:v>ACH PAYMENT - Keith PLC - DP-2026-025613</x:v>
      </x:c>
      <x:c r="D1079" s="21" t="str">
        <x:v>Supplier payment</x:v>
      </x:c>
      <x:c r="E1079" s="18" t="n">
        <x:v>256.07</x:v>
      </x:c>
      <x:c r="F1079" s="18"/>
      <x:c r="G1079" s="18" t="n">
        <x:v>-256.07</x:v>
      </x:c>
      <x:c r="H1079" s="18" t="n">
        <x:f>H1078+G1079</x:f>
        <x:v>8822718.48999999</x:v>
      </x:c>
    </x:row>
    <x:row r="1080">
      <x:c r="A1080" s="20" t="n">
        <x:v>46183</x:v>
      </x:c>
      <x:c r="B1080" s="21" t="str">
        <x:v>DP-2026-025614</x:v>
      </x:c>
      <x:c r="C1080" s="21" t="str">
        <x:v>ACH PAYMENT - Boone-Benton - DP-2026-025614</x:v>
      </x:c>
      <x:c r="D1080" s="21" t="str">
        <x:v>Supplier payment</x:v>
      </x:c>
      <x:c r="E1080" s="18" t="n">
        <x:v>200.53</x:v>
      </x:c>
      <x:c r="F1080" s="18"/>
      <x:c r="G1080" s="18" t="n">
        <x:v>-200.53</x:v>
      </x:c>
      <x:c r="H1080" s="18" t="n">
        <x:f>H1079+G1080</x:f>
        <x:v>8822517.959999992</x:v>
      </x:c>
    </x:row>
    <x:row r="1081">
      <x:c r="A1081" s="20" t="n">
        <x:v>46183</x:v>
      </x:c>
      <x:c r="B1081" s="21" t="str">
        <x:v>DP-2026-027111</x:v>
      </x:c>
      <x:c r="C1081" s="21" t="str">
        <x:v>ACH PAYMENT - Garcia Group - DP-2026-027111</x:v>
      </x:c>
      <x:c r="D1081" s="21" t="str">
        <x:v>Supplier payment</x:v>
      </x:c>
      <x:c r="E1081" s="18" t="n">
        <x:v>168.48</x:v>
      </x:c>
      <x:c r="F1081" s="18"/>
      <x:c r="G1081" s="18" t="n">
        <x:v>-168.48</x:v>
      </x:c>
      <x:c r="H1081" s="18" t="n">
        <x:f>H1080+G1081</x:f>
        <x:v>8822349.479999991</x:v>
      </x:c>
    </x:row>
    <x:row r="1082">
      <x:c r="A1082" s="20" t="n">
        <x:v>46183</x:v>
      </x:c>
      <x:c r="B1082" s="21" t="str">
        <x:v>DP-2026-027116</x:v>
      </x:c>
      <x:c r="C1082" s="21" t="str">
        <x:v>ACH PAYMENT - Boyd and Sons - DP-2026-027116</x:v>
      </x:c>
      <x:c r="D1082" s="21" t="str">
        <x:v>Supplier payment</x:v>
      </x:c>
      <x:c r="E1082" s="18" t="n">
        <x:v>450.17</x:v>
      </x:c>
      <x:c r="F1082" s="18"/>
      <x:c r="G1082" s="18" t="n">
        <x:v>-450.17</x:v>
      </x:c>
      <x:c r="H1082" s="18" t="n">
        <x:f>H1081+G1082</x:f>
        <x:v>8821899.309999991</x:v>
      </x:c>
    </x:row>
    <x:row r="1083">
      <x:c r="A1083" s="20" t="n">
        <x:v>46183</x:v>
      </x:c>
      <x:c r="B1083" s="21" t="str">
        <x:v>DP-2026-027859</x:v>
      </x:c>
      <x:c r="C1083" s="21" t="str">
        <x:v>ACH PAYMENT - Turner PLC - DP-2026-027859</x:v>
      </x:c>
      <x:c r="D1083" s="21" t="str">
        <x:v>Supplier payment</x:v>
      </x:c>
      <x:c r="E1083" s="18" t="n">
        <x:v>221.17</x:v>
      </x:c>
      <x:c r="F1083" s="18"/>
      <x:c r="G1083" s="18" t="n">
        <x:v>-221.17</x:v>
      </x:c>
      <x:c r="H1083" s="18" t="n">
        <x:f>H1082+G1083</x:f>
        <x:v>8821678.139999991</x:v>
      </x:c>
    </x:row>
    <x:row r="1084">
      <x:c r="A1084" s="20" t="n">
        <x:v>46183</x:v>
      </x:c>
      <x:c r="B1084" s="21" t="str">
        <x:v>DP-2026-027895</x:v>
      </x:c>
      <x:c r="C1084" s="21" t="str">
        <x:v>ACH PAYMENT - Hale-Hart - DP-2026-027895</x:v>
      </x:c>
      <x:c r="D1084" s="21" t="str">
        <x:v>Supplier payment</x:v>
      </x:c>
      <x:c r="E1084" s="18" t="n">
        <x:v>1161.67</x:v>
      </x:c>
      <x:c r="F1084" s="18"/>
      <x:c r="G1084" s="18" t="n">
        <x:v>-1161.67</x:v>
      </x:c>
      <x:c r="H1084" s="18" t="n">
        <x:f>H1083+G1084</x:f>
        <x:v>8820516.469999991</x:v>
      </x:c>
    </x:row>
    <x:row r="1085">
      <x:c r="A1085" s="20" t="n">
        <x:v>46183</x:v>
      </x:c>
      <x:c r="B1085" s="21" t="str">
        <x:v>DP-2026-027898</x:v>
      </x:c>
      <x:c r="C1085" s="21" t="str">
        <x:v>WIRE TRANSFER PAYMENT - Silva, Burton and Arnold - DP-2026-027898</x:v>
      </x:c>
      <x:c r="D1085" s="21" t="str">
        <x:v>Supplier payment</x:v>
      </x:c>
      <x:c r="E1085" s="18" t="n">
        <x:v>389.17</x:v>
      </x:c>
      <x:c r="F1085" s="18"/>
      <x:c r="G1085" s="18" t="n">
        <x:v>-389.17</x:v>
      </x:c>
      <x:c r="H1085" s="18" t="n">
        <x:f>H1084+G1085</x:f>
        <x:v>8820127.299999991</x:v>
      </x:c>
    </x:row>
    <x:row r="1086">
      <x:c r="A1086" s="20" t="n">
        <x:v>46183</x:v>
      </x:c>
      <x:c r="B1086" s="21" t="str">
        <x:v>DP-2026-027899</x:v>
      </x:c>
      <x:c r="C1086" s="21" t="str">
        <x:v>ACH PAYMENT - Murphy, Williams and Sanders - DP-2026-027899</x:v>
      </x:c>
      <x:c r="D1086" s="21" t="str">
        <x:v>Supplier payment</x:v>
      </x:c>
      <x:c r="E1086" s="18" t="n">
        <x:v>497.53</x:v>
      </x:c>
      <x:c r="F1086" s="18"/>
      <x:c r="G1086" s="18" t="n">
        <x:v>-497.53</x:v>
      </x:c>
      <x:c r="H1086" s="18" t="n">
        <x:f>H1085+G1086</x:f>
        <x:v>8819629.769999992</x:v>
      </x:c>
    </x:row>
    <x:row r="1087">
      <x:c r="A1087" s="20" t="n">
        <x:v>46183</x:v>
      </x:c>
      <x:c r="B1087" s="21" t="str">
        <x:v>DP-2026-027900</x:v>
      </x:c>
      <x:c r="C1087" s="21" t="str">
        <x:v>ACH PAYMENT - Nash LLC - DP-2026-027900</x:v>
      </x:c>
      <x:c r="D1087" s="21" t="str">
        <x:v>Supplier payment</x:v>
      </x:c>
      <x:c r="E1087" s="18" t="n">
        <x:v>2796.38</x:v>
      </x:c>
      <x:c r="F1087" s="18"/>
      <x:c r="G1087" s="18" t="n">
        <x:v>-2796.38</x:v>
      </x:c>
      <x:c r="H1087" s="18" t="n">
        <x:f>H1086+G1087</x:f>
        <x:v>8816833.389999991</x:v>
      </x:c>
    </x:row>
    <x:row r="1088">
      <x:c r="A1088" s="20" t="n">
        <x:v>46183</x:v>
      </x:c>
      <x:c r="B1088" s="21" t="str">
        <x:v>DP-2026-027903</x:v>
      </x:c>
      <x:c r="C1088" s="21" t="str">
        <x:v>ACH PAYMENT - Chambers PLC - DP-2026-027903</x:v>
      </x:c>
      <x:c r="D1088" s="21" t="str">
        <x:v>Supplier payment</x:v>
      </x:c>
      <x:c r="E1088" s="18" t="n">
        <x:v>251.47</x:v>
      </x:c>
      <x:c r="F1088" s="18"/>
      <x:c r="G1088" s="18" t="n">
        <x:v>-251.47</x:v>
      </x:c>
      <x:c r="H1088" s="18" t="n">
        <x:f>H1087+G1088</x:f>
        <x:v>8816581.91999999</x:v>
      </x:c>
    </x:row>
    <x:row r="1089">
      <x:c r="A1089" s="20" t="n">
        <x:v>46183</x:v>
      </x:c>
      <x:c r="B1089" s="21" t="str">
        <x:v>DP-2026-027919</x:v>
      </x:c>
      <x:c r="C1089" s="21" t="str">
        <x:v>ACH PAYMENT - Hester Ltd - DP-2026-027919</x:v>
      </x:c>
      <x:c r="D1089" s="21" t="str">
        <x:v>Supplier payment</x:v>
      </x:c>
      <x:c r="E1089" s="18" t="n">
        <x:v>1530.71</x:v>
      </x:c>
      <x:c r="F1089" s="18"/>
      <x:c r="G1089" s="18" t="n">
        <x:v>-1530.71</x:v>
      </x:c>
      <x:c r="H1089" s="18" t="n">
        <x:f>H1088+G1089</x:f>
        <x:v>8815051.20999999</x:v>
      </x:c>
    </x:row>
    <x:row r="1090">
      <x:c r="A1090" s="20" t="n">
        <x:v>46183</x:v>
      </x:c>
      <x:c r="B1090" s="21" t="str">
        <x:v>DP-2026-027927</x:v>
      </x:c>
      <x:c r="C1090" s="21" t="str">
        <x:v>ACH PAYMENT - Garcia Group - DP-2026-027927</x:v>
      </x:c>
      <x:c r="D1090" s="21" t="str">
        <x:v>Supplier payment</x:v>
      </x:c>
      <x:c r="E1090" s="18" t="n">
        <x:v>757.74</x:v>
      </x:c>
      <x:c r="F1090" s="18"/>
      <x:c r="G1090" s="18" t="n">
        <x:v>-757.74</x:v>
      </x:c>
      <x:c r="H1090" s="18" t="n">
        <x:f>H1089+G1090</x:f>
        <x:v>8814293.46999999</x:v>
      </x:c>
    </x:row>
    <x:row r="1091">
      <x:c r="A1091" s="20" t="n">
        <x:v>46183</x:v>
      </x:c>
      <x:c r="B1091" s="21" t="str">
        <x:v>DP-2026-027946</x:v>
      </x:c>
      <x:c r="C1091" s="21" t="str">
        <x:v>ACH PAYMENT - Keith PLC - DP-2026-027946</x:v>
      </x:c>
      <x:c r="D1091" s="21" t="str">
        <x:v>Supplier payment</x:v>
      </x:c>
      <x:c r="E1091" s="18" t="n">
        <x:v>223.9</x:v>
      </x:c>
      <x:c r="F1091" s="18"/>
      <x:c r="G1091" s="18" t="n">
        <x:v>-223.9</x:v>
      </x:c>
      <x:c r="H1091" s="18" t="n">
        <x:f>H1090+G1091</x:f>
        <x:v>8814069.56999999</x:v>
      </x:c>
    </x:row>
    <x:row r="1092">
      <x:c r="A1092" s="20" t="n">
        <x:v>46183</x:v>
      </x:c>
      <x:c r="B1092" s="21" t="str">
        <x:v>DP-2026-027978</x:v>
      </x:c>
      <x:c r="C1092" s="21" t="str">
        <x:v>ACH PAYMENT - Hernandez, Melendez and Mcdowell - DP-2026-027978</x:v>
      </x:c>
      <x:c r="D1092" s="21" t="str">
        <x:v>Supplier payment</x:v>
      </x:c>
      <x:c r="E1092" s="18" t="n">
        <x:v>624.44</x:v>
      </x:c>
      <x:c r="F1092" s="18"/>
      <x:c r="G1092" s="18" t="n">
        <x:v>-624.44</x:v>
      </x:c>
      <x:c r="H1092" s="18" t="n">
        <x:f>H1091+G1092</x:f>
        <x:v>8813445.12999999</x:v>
      </x:c>
    </x:row>
    <x:row r="1093">
      <x:c r="A1093" s="20" t="n">
        <x:v>46183</x:v>
      </x:c>
      <x:c r="B1093" s="21" t="str">
        <x:v>DP-2026-027992</x:v>
      </x:c>
      <x:c r="C1093" s="21" t="str">
        <x:v>ACH PAYMENT - Berger, Stanley and Cooper - DP-2026-027992</x:v>
      </x:c>
      <x:c r="D1093" s="21" t="str">
        <x:v>Supplier payment</x:v>
      </x:c>
      <x:c r="E1093" s="18" t="n">
        <x:v>61.9</x:v>
      </x:c>
      <x:c r="F1093" s="18"/>
      <x:c r="G1093" s="18" t="n">
        <x:v>-61.9</x:v>
      </x:c>
      <x:c r="H1093" s="18" t="n">
        <x:f>H1092+G1093</x:f>
        <x:v>8813383.22999999</x:v>
      </x:c>
    </x:row>
    <x:row r="1094">
      <x:c r="A1094" s="20" t="n">
        <x:v>46183</x:v>
      </x:c>
      <x:c r="B1094" s="21" t="str">
        <x:v>DP-2026-028012</x:v>
      </x:c>
      <x:c r="C1094" s="21" t="str">
        <x:v>ACH PAYMENT - Collins-Johnson - DP-2026-028012</x:v>
      </x:c>
      <x:c r="D1094" s="21" t="str">
        <x:v>Supplier payment</x:v>
      </x:c>
      <x:c r="E1094" s="18" t="n">
        <x:v>1414.94</x:v>
      </x:c>
      <x:c r="F1094" s="18"/>
      <x:c r="G1094" s="18" t="n">
        <x:v>-1414.94</x:v>
      </x:c>
      <x:c r="H1094" s="18" t="n">
        <x:f>H1093+G1094</x:f>
        <x:v>8811968.28999999</x:v>
      </x:c>
    </x:row>
    <x:row r="1095">
      <x:c r="A1095" s="20" t="n">
        <x:v>46183</x:v>
      </x:c>
      <x:c r="B1095" s="21" t="str">
        <x:v>DP-2026-028047</x:v>
      </x:c>
      <x:c r="C1095" s="21" t="str">
        <x:v>ACH PAYMENT - Morrison-Smith - DP-2026-028047</x:v>
      </x:c>
      <x:c r="D1095" s="21" t="str">
        <x:v>Supplier payment</x:v>
      </x:c>
      <x:c r="E1095" s="18" t="n">
        <x:v>1936.51</x:v>
      </x:c>
      <x:c r="F1095" s="18"/>
      <x:c r="G1095" s="18" t="n">
        <x:v>-1936.51</x:v>
      </x:c>
      <x:c r="H1095" s="18" t="n">
        <x:f>H1094+G1095</x:f>
        <x:v>8810031.77999999</x:v>
      </x:c>
    </x:row>
    <x:row r="1096">
      <x:c r="A1096" s="20" t="n">
        <x:v>46183</x:v>
      </x:c>
      <x:c r="B1096" s="21" t="str">
        <x:v>DP-2026-028057</x:v>
      </x:c>
      <x:c r="C1096" s="21" t="str">
        <x:v>ACH PAYMENT - Anderson-Noble - DP-2026-028057</x:v>
      </x:c>
      <x:c r="D1096" s="21" t="str">
        <x:v>Supplier payment</x:v>
      </x:c>
      <x:c r="E1096" s="18" t="n">
        <x:v>1012.27</x:v>
      </x:c>
      <x:c r="F1096" s="18"/>
      <x:c r="G1096" s="18" t="n">
        <x:v>-1012.27</x:v>
      </x:c>
      <x:c r="H1096" s="18" t="n">
        <x:f>H1095+G1096</x:f>
        <x:v>8809019.50999999</x:v>
      </x:c>
    </x:row>
    <x:row r="1097">
      <x:c r="A1097" s="20" t="n">
        <x:v>46183</x:v>
      </x:c>
      <x:c r="B1097" s="21" t="str">
        <x:v>DP-2026-028080</x:v>
      </x:c>
      <x:c r="C1097" s="21" t="str">
        <x:v>ACH PAYMENT - Henderson, Bennett and Pena - DP-2026-028080</x:v>
      </x:c>
      <x:c r="D1097" s="21" t="str">
        <x:v>Supplier payment</x:v>
      </x:c>
      <x:c r="E1097" s="18" t="n">
        <x:v>453.47</x:v>
      </x:c>
      <x:c r="F1097" s="18"/>
      <x:c r="G1097" s="18" t="n">
        <x:v>-453.47</x:v>
      </x:c>
      <x:c r="H1097" s="18" t="n">
        <x:f>H1096+G1097</x:f>
        <x:v>8808566.03999999</x:v>
      </x:c>
    </x:row>
    <x:row r="1098">
      <x:c r="A1098" s="20" t="n">
        <x:v>46183</x:v>
      </x:c>
      <x:c r="B1098" s="21" t="str">
        <x:v>DP-2026-028112</x:v>
      </x:c>
      <x:c r="C1098" s="21" t="str">
        <x:v>ACH PAYMENT - Brooks, Johnson and Olson - DP-2026-028112</x:v>
      </x:c>
      <x:c r="D1098" s="21" t="str">
        <x:v>Supplier payment</x:v>
      </x:c>
      <x:c r="E1098" s="18" t="n">
        <x:v>34.6</x:v>
      </x:c>
      <x:c r="F1098" s="18"/>
      <x:c r="G1098" s="18" t="n">
        <x:v>-34.6</x:v>
      </x:c>
      <x:c r="H1098" s="18" t="n">
        <x:f>H1097+G1098</x:f>
        <x:v>8808531.43999999</x:v>
      </x:c>
    </x:row>
    <x:row r="1099">
      <x:c r="A1099" s="20" t="n">
        <x:v>46183</x:v>
      </x:c>
      <x:c r="B1099" s="21" t="str">
        <x:v>DP-2026-028117</x:v>
      </x:c>
      <x:c r="C1099" s="21" t="str">
        <x:v>ACH PAYMENT - Keith PLC - DP-2026-028117</x:v>
      </x:c>
      <x:c r="D1099" s="21" t="str">
        <x:v>Supplier payment</x:v>
      </x:c>
      <x:c r="E1099" s="18" t="n">
        <x:v>591.78</x:v>
      </x:c>
      <x:c r="F1099" s="18"/>
      <x:c r="G1099" s="18" t="n">
        <x:v>-591.78</x:v>
      </x:c>
      <x:c r="H1099" s="18" t="n">
        <x:f>H1098+G1099</x:f>
        <x:v>8807939.65999999</x:v>
      </x:c>
    </x:row>
    <x:row r="1100">
      <x:c r="A1100" s="20" t="n">
        <x:v>46183</x:v>
      </x:c>
      <x:c r="B1100" s="21" t="str">
        <x:v>DP-2026-028152</x:v>
      </x:c>
      <x:c r="C1100" s="21" t="str">
        <x:v>ACH PAYMENT - Berger, Stanley and Cooper - DP-2026-028152</x:v>
      </x:c>
      <x:c r="D1100" s="21" t="str">
        <x:v>Supplier payment</x:v>
      </x:c>
      <x:c r="E1100" s="18" t="n">
        <x:v>907.99</x:v>
      </x:c>
      <x:c r="F1100" s="18"/>
      <x:c r="G1100" s="18" t="n">
        <x:v>-907.99</x:v>
      </x:c>
      <x:c r="H1100" s="18" t="n">
        <x:f>H1099+G1100</x:f>
        <x:v>8807031.66999999</x:v>
      </x:c>
    </x:row>
    <x:row r="1101">
      <x:c r="A1101" s="20" t="n">
        <x:v>46183</x:v>
      </x:c>
      <x:c r="B1101" s="21" t="str">
        <x:v>DP-2026-028161</x:v>
      </x:c>
      <x:c r="C1101" s="21" t="str">
        <x:v>ACH PAYMENT - Hester Ltd - DP-2026-028161</x:v>
      </x:c>
      <x:c r="D1101" s="21" t="str">
        <x:v>Supplier payment</x:v>
      </x:c>
      <x:c r="E1101" s="18" t="n">
        <x:v>438.3</x:v>
      </x:c>
      <x:c r="F1101" s="18"/>
      <x:c r="G1101" s="18" t="n">
        <x:v>-438.3</x:v>
      </x:c>
      <x:c r="H1101" s="18" t="n">
        <x:f>H1100+G1101</x:f>
        <x:v>8806593.36999999</x:v>
      </x:c>
    </x:row>
    <x:row r="1102">
      <x:c r="A1102" s="20" t="n">
        <x:v>46183</x:v>
      </x:c>
      <x:c r="B1102" s="21" t="str">
        <x:v>DP-2026-028181</x:v>
      </x:c>
      <x:c r="C1102" s="21" t="str">
        <x:v>ACH PAYMENT - Tucker Group - DP-2026-028181</x:v>
      </x:c>
      <x:c r="D1102" s="21" t="str">
        <x:v>Supplier payment</x:v>
      </x:c>
      <x:c r="E1102" s="18" t="n">
        <x:v>620.85</x:v>
      </x:c>
      <x:c r="F1102" s="18"/>
      <x:c r="G1102" s="18" t="n">
        <x:v>-620.85</x:v>
      </x:c>
      <x:c r="H1102" s="18" t="n">
        <x:f>H1101+G1102</x:f>
        <x:v>8805972.51999999</x:v>
      </x:c>
    </x:row>
    <x:row r="1103">
      <x:c r="A1103" s="20" t="n">
        <x:v>46183</x:v>
      </x:c>
      <x:c r="B1103" s="21" t="str">
        <x:v>DP-2026-028194</x:v>
      </x:c>
      <x:c r="C1103" s="21" t="str">
        <x:v>ACH PAYMENT - Berger, Stanley and Cooper - DP-2026-028194</x:v>
      </x:c>
      <x:c r="D1103" s="21" t="str">
        <x:v>Supplier payment</x:v>
      </x:c>
      <x:c r="E1103" s="18" t="n">
        <x:v>1260.63</x:v>
      </x:c>
      <x:c r="F1103" s="18"/>
      <x:c r="G1103" s="18" t="n">
        <x:v>-1260.63</x:v>
      </x:c>
      <x:c r="H1103" s="18" t="n">
        <x:f>H1102+G1103</x:f>
        <x:v>8804711.88999999</x:v>
      </x:c>
    </x:row>
    <x:row r="1104">
      <x:c r="A1104" s="20" t="n">
        <x:v>46183</x:v>
      </x:c>
      <x:c r="B1104" s="21" t="str">
        <x:v>DP-2026-028249</x:v>
      </x:c>
      <x:c r="C1104" s="21" t="str">
        <x:v>ACH PAYMENT - Simmons, Tucker and Huang - DP-2026-028249</x:v>
      </x:c>
      <x:c r="D1104" s="21" t="str">
        <x:v>Supplier payment</x:v>
      </x:c>
      <x:c r="E1104" s="18" t="n">
        <x:v>639.9</x:v>
      </x:c>
      <x:c r="F1104" s="18"/>
      <x:c r="G1104" s="18" t="n">
        <x:v>-639.9</x:v>
      </x:c>
      <x:c r="H1104" s="18" t="n">
        <x:f>H1103+G1104</x:f>
        <x:v>8804071.989999989</x:v>
      </x:c>
    </x:row>
    <x:row r="1105">
      <x:c r="A1105" s="20" t="n">
        <x:v>46184</x:v>
      </x:c>
      <x:c r="B1105" s="21" t="str">
        <x:v>AR00005926</x:v>
      </x:c>
      <x:c r="C1105" s="21" t="str">
        <x:v>CUSTOMER DEPOSIT - Edwards, Stanley and Rivera - CR-2026-005926</x:v>
      </x:c>
      <x:c r="D1105" s="21" t="str">
        <x:v>Customer deposit</x:v>
      </x:c>
      <x:c r="E1105" s="18"/>
      <x:c r="F1105" s="18" t="n">
        <x:v>28403.66</x:v>
      </x:c>
      <x:c r="G1105" s="18" t="n">
        <x:v>28403.66</x:v>
      </x:c>
      <x:c r="H1105" s="18" t="n">
        <x:f>H1104+G1105</x:f>
        <x:v>8832475.64999999</x:v>
      </x:c>
    </x:row>
    <x:row r="1106">
      <x:c r="A1106" s="20" t="n">
        <x:v>46184</x:v>
      </x:c>
      <x:c r="B1106" s="21" t="str">
        <x:v>AR00005927</x:v>
      </x:c>
      <x:c r="C1106" s="21" t="str">
        <x:v>CUSTOMER DEPOSIT - Brown LLC - CR-2026-005927</x:v>
      </x:c>
      <x:c r="D1106" s="21" t="str">
        <x:v>Customer deposit</x:v>
      </x:c>
      <x:c r="E1106" s="18"/>
      <x:c r="F1106" s="18" t="n">
        <x:v>1079.85</x:v>
      </x:c>
      <x:c r="G1106" s="18" t="n">
        <x:v>1079.85</x:v>
      </x:c>
      <x:c r="H1106" s="18" t="n">
        <x:f>H1105+G1106</x:f>
        <x:v>8833555.499999989</x:v>
      </x:c>
    </x:row>
    <x:row r="1107">
      <x:c r="A1107" s="20" t="n">
        <x:v>46184</x:v>
      </x:c>
      <x:c r="B1107" s="21" t="str">
        <x:v>AR00005943</x:v>
      </x:c>
      <x:c r="C1107" s="21" t="str">
        <x:v>CUSTOMER DEPOSIT - Roman LLC - CR-2026-005943</x:v>
      </x:c>
      <x:c r="D1107" s="21" t="str">
        <x:v>Customer deposit</x:v>
      </x:c>
      <x:c r="E1107" s="18"/>
      <x:c r="F1107" s="18" t="n">
        <x:v>7340.73</x:v>
      </x:c>
      <x:c r="G1107" s="18" t="n">
        <x:v>7340.73</x:v>
      </x:c>
      <x:c r="H1107" s="18" t="n">
        <x:f>H1106+G1107</x:f>
        <x:v>8840896.22999999</x:v>
      </x:c>
    </x:row>
    <x:row r="1108">
      <x:c r="A1108" s="20" t="n">
        <x:v>46184</x:v>
      </x:c>
      <x:c r="B1108" s="21" t="str">
        <x:v>AR00005975</x:v>
      </x:c>
      <x:c r="C1108" s="21" t="str">
        <x:v>CUSTOMER DEPOSIT - Reyes LLC - CR-2026-005975</x:v>
      </x:c>
      <x:c r="D1108" s="21" t="str">
        <x:v>Customer deposit</x:v>
      </x:c>
      <x:c r="E1108" s="18"/>
      <x:c r="F1108" s="18" t="n">
        <x:v>21348.09</x:v>
      </x:c>
      <x:c r="G1108" s="18" t="n">
        <x:v>21348.09</x:v>
      </x:c>
      <x:c r="H1108" s="18" t="n">
        <x:f>H1107+G1108</x:f>
        <x:v>8862244.31999999</x:v>
      </x:c>
    </x:row>
    <x:row r="1109">
      <x:c r="A1109" s="20" t="n">
        <x:v>46184</x:v>
      </x:c>
      <x:c r="B1109" s="21" t="str">
        <x:v>AR00005980</x:v>
      </x:c>
      <x:c r="C1109" s="21" t="str">
        <x:v>CUSTOMER DEPOSIT - Stewart PLC - CR-2026-005980</x:v>
      </x:c>
      <x:c r="D1109" s="21" t="str">
        <x:v>Customer deposit</x:v>
      </x:c>
      <x:c r="E1109" s="18"/>
      <x:c r="F1109" s="18" t="n">
        <x:v>8068.9</x:v>
      </x:c>
      <x:c r="G1109" s="18" t="n">
        <x:v>8068.9</x:v>
      </x:c>
      <x:c r="H1109" s="18" t="n">
        <x:f>H1108+G1109</x:f>
        <x:v>8870313.21999999</x:v>
      </x:c>
    </x:row>
    <x:row r="1110">
      <x:c r="A1110" s="20" t="n">
        <x:v>46184</x:v>
      </x:c>
      <x:c r="B1110" s="21" t="str">
        <x:v>AR00005990</x:v>
      </x:c>
      <x:c r="C1110" s="21" t="str">
        <x:v>CUSTOMER DEPOSIT - Oconnor-Ortiz - CR-2026-005990</x:v>
      </x:c>
      <x:c r="D1110" s="21" t="str">
        <x:v>Customer deposit</x:v>
      </x:c>
      <x:c r="E1110" s="18"/>
      <x:c r="F1110" s="18" t="n">
        <x:v>5002.41</x:v>
      </x:c>
      <x:c r="G1110" s="18" t="n">
        <x:v>5002.41</x:v>
      </x:c>
      <x:c r="H1110" s="18" t="n">
        <x:f>H1109+G1110</x:f>
        <x:v>8875315.62999999</x:v>
      </x:c>
    </x:row>
    <x:row r="1111">
      <x:c r="A1111" s="20" t="n">
        <x:v>46184</x:v>
      </x:c>
      <x:c r="B1111" s="21" t="str">
        <x:v>AR00006002</x:v>
      </x:c>
      <x:c r="C1111" s="21" t="str">
        <x:v>CUSTOMER DEPOSIT - Phillips Inc - CR-2026-006002</x:v>
      </x:c>
      <x:c r="D1111" s="21" t="str">
        <x:v>Customer deposit</x:v>
      </x:c>
      <x:c r="E1111" s="18"/>
      <x:c r="F1111" s="18" t="n">
        <x:v>5377.56</x:v>
      </x:c>
      <x:c r="G1111" s="18" t="n">
        <x:v>5377.56</x:v>
      </x:c>
      <x:c r="H1111" s="18" t="n">
        <x:f>H1110+G1111</x:f>
        <x:v>8880693.18999999</x:v>
      </x:c>
    </x:row>
    <x:row r="1112">
      <x:c r="A1112" s="20" t="n">
        <x:v>46184</x:v>
      </x:c>
      <x:c r="B1112" s="21" t="str">
        <x:v>AR00006029</x:v>
      </x:c>
      <x:c r="C1112" s="21" t="str">
        <x:v>CUSTOMER DEPOSIT - Rangel Ltd - CR-2026-006029</x:v>
      </x:c>
      <x:c r="D1112" s="21" t="str">
        <x:v>Customer deposit</x:v>
      </x:c>
      <x:c r="E1112" s="18"/>
      <x:c r="F1112" s="18" t="n">
        <x:v>22956.6</x:v>
      </x:c>
      <x:c r="G1112" s="18" t="n">
        <x:v>22956.6</x:v>
      </x:c>
      <x:c r="H1112" s="18" t="n">
        <x:f>H1111+G1112</x:f>
        <x:v>8903649.78999999</x:v>
      </x:c>
    </x:row>
    <x:row r="1113">
      <x:c r="A1113" s="20" t="n">
        <x:v>46184</x:v>
      </x:c>
      <x:c r="B1113" s="21" t="str">
        <x:v>AR00006039</x:v>
      </x:c>
      <x:c r="C1113" s="21" t="str">
        <x:v>CUSTOMER DEPOSIT - Larson-Bean - CR-2026-006039</x:v>
      </x:c>
      <x:c r="D1113" s="21" t="str">
        <x:v>Customer deposit</x:v>
      </x:c>
      <x:c r="E1113" s="18"/>
      <x:c r="F1113" s="18" t="n">
        <x:v>6051.87</x:v>
      </x:c>
      <x:c r="G1113" s="18" t="n">
        <x:v>6051.87</x:v>
      </x:c>
      <x:c r="H1113" s="18" t="n">
        <x:f>H1112+G1113</x:f>
        <x:v>8909701.659999989</x:v>
      </x:c>
    </x:row>
    <x:row r="1114">
      <x:c r="A1114" s="20" t="n">
        <x:v>46184</x:v>
      </x:c>
      <x:c r="B1114" s="21" t="str">
        <x:v>AR00006043</x:v>
      </x:c>
      <x:c r="C1114" s="21" t="str">
        <x:v>CUSTOMER DEPOSIT - Tucker Ltd - CR-2026-006043</x:v>
      </x:c>
      <x:c r="D1114" s="21" t="str">
        <x:v>Customer deposit</x:v>
      </x:c>
      <x:c r="E1114" s="18"/>
      <x:c r="F1114" s="18" t="n">
        <x:v>14674.77</x:v>
      </x:c>
      <x:c r="G1114" s="18" t="n">
        <x:v>14674.77</x:v>
      </x:c>
      <x:c r="H1114" s="18" t="n">
        <x:f>H1113+G1114</x:f>
        <x:v>8924376.429999989</x:v>
      </x:c>
    </x:row>
    <x:row r="1115">
      <x:c r="A1115" s="20" t="n">
        <x:v>46184</x:v>
      </x:c>
      <x:c r="B1115" s="21" t="str">
        <x:v>AR00006044</x:v>
      </x:c>
      <x:c r="C1115" s="21" t="str">
        <x:v>CUSTOMER DEPOSIT - Mccarthy, Smith and Mendez - CR-2026-006044</x:v>
      </x:c>
      <x:c r="D1115" s="21" t="str">
        <x:v>Customer deposit</x:v>
      </x:c>
      <x:c r="E1115" s="18"/>
      <x:c r="F1115" s="18" t="n">
        <x:v>4307.93</x:v>
      </x:c>
      <x:c r="G1115" s="18" t="n">
        <x:v>4307.93</x:v>
      </x:c>
      <x:c r="H1115" s="18" t="n">
        <x:f>H1114+G1115</x:f>
        <x:v>8928684.359999988</x:v>
      </x:c>
    </x:row>
    <x:row r="1116">
      <x:c r="A1116" s="20" t="n">
        <x:v>46184</x:v>
      </x:c>
      <x:c r="B1116" s="21" t="str">
        <x:v>AR00006049</x:v>
      </x:c>
      <x:c r="C1116" s="21" t="str">
        <x:v>CUSTOMER DEPOSIT - Jones, Richardson and Beard - CR-2026-006049</x:v>
      </x:c>
      <x:c r="D1116" s="21" t="str">
        <x:v>Customer deposit</x:v>
      </x:c>
      <x:c r="E1116" s="18"/>
      <x:c r="F1116" s="18" t="n">
        <x:v>6871.9</x:v>
      </x:c>
      <x:c r="G1116" s="18" t="n">
        <x:v>6871.9</x:v>
      </x:c>
      <x:c r="H1116" s="18" t="n">
        <x:f>H1115+G1116</x:f>
        <x:v>8935556.259999989</x:v>
      </x:c>
    </x:row>
    <x:row r="1117">
      <x:c r="A1117" s="20" t="n">
        <x:v>46184</x:v>
      </x:c>
      <x:c r="B1117" s="21" t="str">
        <x:v>AR00006050</x:v>
      </x:c>
      <x:c r="C1117" s="21" t="str">
        <x:v>CUSTOMER DEPOSIT - Johnson-Contreras - CR-2026-006050</x:v>
      </x:c>
      <x:c r="D1117" s="21" t="str">
        <x:v>Customer deposit</x:v>
      </x:c>
      <x:c r="E1117" s="18"/>
      <x:c r="F1117" s="18" t="n">
        <x:v>5380.12</x:v>
      </x:c>
      <x:c r="G1117" s="18" t="n">
        <x:v>5380.12</x:v>
      </x:c>
      <x:c r="H1117" s="18" t="n">
        <x:f>H1116+G1117</x:f>
        <x:v>8940936.379999988</x:v>
      </x:c>
    </x:row>
    <x:row r="1118">
      <x:c r="A1118" s="20" t="n">
        <x:v>46184</x:v>
      </x:c>
      <x:c r="B1118" s="21" t="str">
        <x:v>AR00006053</x:v>
      </x:c>
      <x:c r="C1118" s="21" t="str">
        <x:v>CUSTOMER DEPOSIT - Peters-Gray - CR-2026-006053</x:v>
      </x:c>
      <x:c r="D1118" s="21" t="str">
        <x:v>Customer deposit</x:v>
      </x:c>
      <x:c r="E1118" s="18"/>
      <x:c r="F1118" s="18" t="n">
        <x:v>2273.97</x:v>
      </x:c>
      <x:c r="G1118" s="18" t="n">
        <x:v>2273.97</x:v>
      </x:c>
      <x:c r="H1118" s="18" t="n">
        <x:f>H1117+G1118</x:f>
        <x:v>8943210.349999988</x:v>
      </x:c>
    </x:row>
    <x:row r="1119">
      <x:c r="A1119" s="20" t="n">
        <x:v>46184</x:v>
      </x:c>
      <x:c r="B1119" s="21" t="str">
        <x:v>AR00006078</x:v>
      </x:c>
      <x:c r="C1119" s="21" t="str">
        <x:v>CUSTOMER DEPOSIT - Charles LLC - CR-2026-006078</x:v>
      </x:c>
      <x:c r="D1119" s="21" t="str">
        <x:v>Customer deposit</x:v>
      </x:c>
      <x:c r="E1119" s="18"/>
      <x:c r="F1119" s="18" t="n">
        <x:v>15724.15</x:v>
      </x:c>
      <x:c r="G1119" s="18" t="n">
        <x:v>15724.15</x:v>
      </x:c>
      <x:c r="H1119" s="18" t="n">
        <x:f>H1118+G1119</x:f>
        <x:v>8958934.499999989</x:v>
      </x:c>
    </x:row>
    <x:row r="1120">
      <x:c r="A1120" s="20" t="n">
        <x:v>46184</x:v>
      </x:c>
      <x:c r="B1120" s="21" t="str">
        <x:v>AR00006094</x:v>
      </x:c>
      <x:c r="C1120" s="21" t="str">
        <x:v>CUSTOMER DEPOSIT - King, Fleming and Hahn - CR-2026-006094</x:v>
      </x:c>
      <x:c r="D1120" s="21" t="str">
        <x:v>Customer deposit</x:v>
      </x:c>
      <x:c r="E1120" s="18"/>
      <x:c r="F1120" s="18" t="n">
        <x:v>2296.97</x:v>
      </x:c>
      <x:c r="G1120" s="18" t="n">
        <x:v>2296.97</x:v>
      </x:c>
      <x:c r="H1120" s="18" t="n">
        <x:f>H1119+G1120</x:f>
        <x:v>8961231.46999999</x:v>
      </x:c>
    </x:row>
    <x:row r="1121">
      <x:c r="A1121" s="20" t="n">
        <x:v>46184</x:v>
      </x:c>
      <x:c r="B1121" s="21" t="str">
        <x:v>AR00006096</x:v>
      </x:c>
      <x:c r="C1121" s="21" t="str">
        <x:v>CUSTOMER DEPOSIT - Green-Villanueva - CR-2026-006096</x:v>
      </x:c>
      <x:c r="D1121" s="21" t="str">
        <x:v>Customer deposit</x:v>
      </x:c>
      <x:c r="E1121" s="18"/>
      <x:c r="F1121" s="18" t="n">
        <x:v>24360.39</x:v>
      </x:c>
      <x:c r="G1121" s="18" t="n">
        <x:v>24360.39</x:v>
      </x:c>
      <x:c r="H1121" s="18" t="n">
        <x:f>H1120+G1121</x:f>
        <x:v>8985591.85999999</x:v>
      </x:c>
    </x:row>
    <x:row r="1122">
      <x:c r="A1122" s="20" t="n">
        <x:v>46184</x:v>
      </x:c>
      <x:c r="B1122" s="21" t="str">
        <x:v>AR00006114</x:v>
      </x:c>
      <x:c r="C1122" s="21" t="str">
        <x:v>CUSTOMER DEPOSIT - Collins, Wells and Bennett - CR-2026-006114</x:v>
      </x:c>
      <x:c r="D1122" s="21" t="str">
        <x:v>Customer deposit</x:v>
      </x:c>
      <x:c r="E1122" s="18"/>
      <x:c r="F1122" s="18" t="n">
        <x:v>3234.65</x:v>
      </x:c>
      <x:c r="G1122" s="18" t="n">
        <x:v>3234.65</x:v>
      </x:c>
      <x:c r="H1122" s="18" t="n">
        <x:f>H1121+G1122</x:f>
        <x:v>8988826.50999999</x:v>
      </x:c>
    </x:row>
    <x:row r="1123">
      <x:c r="A1123" s="20" t="n">
        <x:v>46184</x:v>
      </x:c>
      <x:c r="B1123" s="21" t="str">
        <x:v>AR00006117</x:v>
      </x:c>
      <x:c r="C1123" s="21" t="str">
        <x:v>CUSTOMER DEPOSIT - White, Fernandez and Carr - CR-2026-006117</x:v>
      </x:c>
      <x:c r="D1123" s="21" t="str">
        <x:v>Customer deposit</x:v>
      </x:c>
      <x:c r="E1123" s="18"/>
      <x:c r="F1123" s="18" t="n">
        <x:v>22322.35</x:v>
      </x:c>
      <x:c r="G1123" s="18" t="n">
        <x:v>22322.35</x:v>
      </x:c>
      <x:c r="H1123" s="18" t="n">
        <x:f>H1122+G1123</x:f>
        <x:v>9011148.85999999</x:v>
      </x:c>
    </x:row>
    <x:row r="1124">
      <x:c r="A1124" s="20" t="n">
        <x:v>46184</x:v>
      </x:c>
      <x:c r="B1124" s="21" t="str">
        <x:v>CHK0025617</x:v>
      </x:c>
      <x:c r="C1124" s="21" t="str">
        <x:v>CHECK PAYMENT - Davis-Grant - DP-2026-025617</x:v>
      </x:c>
      <x:c r="D1124" s="21" t="str">
        <x:v>Supplier payment</x:v>
      </x:c>
      <x:c r="E1124" s="18" t="n">
        <x:v>2647.59</x:v>
      </x:c>
      <x:c r="F1124" s="18"/>
      <x:c r="G1124" s="18" t="n">
        <x:v>-2647.59</x:v>
      </x:c>
      <x:c r="H1124" s="18" t="n">
        <x:f>H1123+G1124</x:f>
        <x:v>9008501.26999999</x:v>
      </x:c>
    </x:row>
    <x:row r="1125">
      <x:c r="A1125" s="20" t="n">
        <x:v>46184</x:v>
      </x:c>
      <x:c r="B1125" s="21" t="str">
        <x:v>CHK0027121</x:v>
      </x:c>
      <x:c r="C1125" s="21" t="str">
        <x:v>CHECK PAYMENT - Anderson-Noble - DP-2026-027121</x:v>
      </x:c>
      <x:c r="D1125" s="21" t="str">
        <x:v>Supplier payment</x:v>
      </x:c>
      <x:c r="E1125" s="18" t="n">
        <x:v>247.22</x:v>
      </x:c>
      <x:c r="F1125" s="18"/>
      <x:c r="G1125" s="18" t="n">
        <x:v>-247.22</x:v>
      </x:c>
      <x:c r="H1125" s="18" t="n">
        <x:f>H1124+G1125</x:f>
        <x:v>9008254.04999999</x:v>
      </x:c>
    </x:row>
    <x:row r="1126">
      <x:c r="A1126" s="20" t="n">
        <x:v>46184</x:v>
      </x:c>
      <x:c r="B1126" s="21" t="str">
        <x:v>CHK0027122</x:v>
      </x:c>
      <x:c r="C1126" s="21" t="str">
        <x:v>CHECK PAYMENT - Watts-Strickland - DP-2026-027122</x:v>
      </x:c>
      <x:c r="D1126" s="21" t="str">
        <x:v>Supplier payment</x:v>
      </x:c>
      <x:c r="E1126" s="18" t="n">
        <x:v>9772.22</x:v>
      </x:c>
      <x:c r="F1126" s="18"/>
      <x:c r="G1126" s="18" t="n">
        <x:v>-9772.22</x:v>
      </x:c>
      <x:c r="H1126" s="18" t="n">
        <x:f>H1125+G1126</x:f>
        <x:v>8998481.829999989</x:v>
      </x:c>
    </x:row>
    <x:row r="1127">
      <x:c r="A1127" s="20" t="n">
        <x:v>46184</x:v>
      </x:c>
      <x:c r="B1127" s="21" t="str">
        <x:v>CHK0027130</x:v>
      </x:c>
      <x:c r="C1127" s="21" t="str">
        <x:v>CHECK PAYMENT - Dennis PLC - DP-2026-027130</x:v>
      </x:c>
      <x:c r="D1127" s="21" t="str">
        <x:v>Supplier payment</x:v>
      </x:c>
      <x:c r="E1127" s="18" t="n">
        <x:v>408.2</x:v>
      </x:c>
      <x:c r="F1127" s="18"/>
      <x:c r="G1127" s="18" t="n">
        <x:v>-408.2</x:v>
      </x:c>
      <x:c r="H1127" s="18" t="n">
        <x:f>H1126+G1127</x:f>
        <x:v>8998073.62999999</x:v>
      </x:c>
    </x:row>
    <x:row r="1128">
      <x:c r="A1128" s="20" t="n">
        <x:v>46184</x:v>
      </x:c>
      <x:c r="B1128" s="21" t="str">
        <x:v>CHK0027914</x:v>
      </x:c>
      <x:c r="C1128" s="21" t="str">
        <x:v>CHECK PAYMENT - Nelson-Rocha - DP-2026-027914</x:v>
      </x:c>
      <x:c r="D1128" s="21" t="str">
        <x:v>Supplier payment</x:v>
      </x:c>
      <x:c r="E1128" s="18" t="n">
        <x:v>796.63</x:v>
      </x:c>
      <x:c r="F1128" s="18"/>
      <x:c r="G1128" s="18" t="n">
        <x:v>-796.63</x:v>
      </x:c>
      <x:c r="H1128" s="18" t="n">
        <x:f>H1127+G1128</x:f>
        <x:v>8997276.999999989</x:v>
      </x:c>
    </x:row>
    <x:row r="1129">
      <x:c r="A1129" s="20" t="n">
        <x:v>46184</x:v>
      </x:c>
      <x:c r="B1129" s="21" t="str">
        <x:v>CHK0027973</x:v>
      </x:c>
      <x:c r="C1129" s="21" t="str">
        <x:v>CHECK PAYMENT - Weeks Group - DP-2026-027973</x:v>
      </x:c>
      <x:c r="D1129" s="21" t="str">
        <x:v>Supplier payment</x:v>
      </x:c>
      <x:c r="E1129" s="18" t="n">
        <x:v>25.75</x:v>
      </x:c>
      <x:c r="F1129" s="18"/>
      <x:c r="G1129" s="18" t="n">
        <x:v>-25.75</x:v>
      </x:c>
      <x:c r="H1129" s="18" t="n">
        <x:f>H1128+G1129</x:f>
        <x:v>8997251.249999989</x:v>
      </x:c>
    </x:row>
    <x:row r="1130">
      <x:c r="A1130" s="20" t="n">
        <x:v>46184</x:v>
      </x:c>
      <x:c r="B1130" s="21" t="str">
        <x:v>CHK0027987</x:v>
      </x:c>
      <x:c r="C1130" s="21" t="str">
        <x:v>CHECK PAYMENT - Duran, Mccarthy and Myers - DP-2026-027987</x:v>
      </x:c>
      <x:c r="D1130" s="21" t="str">
        <x:v>Supplier payment</x:v>
      </x:c>
      <x:c r="E1130" s="18" t="n">
        <x:v>301</x:v>
      </x:c>
      <x:c r="F1130" s="18"/>
      <x:c r="G1130" s="18" t="n">
        <x:v>-301</x:v>
      </x:c>
      <x:c r="H1130" s="18" t="n">
        <x:f>H1129+G1130</x:f>
        <x:v>8996950.249999989</x:v>
      </x:c>
    </x:row>
    <x:row r="1131">
      <x:c r="A1131" s="20" t="n">
        <x:v>46184</x:v>
      </x:c>
      <x:c r="B1131" s="21" t="str">
        <x:v>CHK0028003</x:v>
      </x:c>
      <x:c r="C1131" s="21" t="str">
        <x:v>CHECK PAYMENT - Keith PLC - DP-2026-028003</x:v>
      </x:c>
      <x:c r="D1131" s="21" t="str">
        <x:v>Supplier payment</x:v>
      </x:c>
      <x:c r="E1131" s="18" t="n">
        <x:v>79.52</x:v>
      </x:c>
      <x:c r="F1131" s="18"/>
      <x:c r="G1131" s="18" t="n">
        <x:v>-79.52</x:v>
      </x:c>
      <x:c r="H1131" s="18" t="n">
        <x:f>H1130+G1131</x:f>
        <x:v>8996870.72999999</x:v>
      </x:c>
    </x:row>
    <x:row r="1132">
      <x:c r="A1132" s="20" t="n">
        <x:v>46184</x:v>
      </x:c>
      <x:c r="B1132" s="21" t="str">
        <x:v>CHK0028055</x:v>
      </x:c>
      <x:c r="C1132" s="21" t="str">
        <x:v>CHECK PAYMENT - Brooks, Johnson and Olson - DP-2026-028055</x:v>
      </x:c>
      <x:c r="D1132" s="21" t="str">
        <x:v>Supplier payment</x:v>
      </x:c>
      <x:c r="E1132" s="18" t="n">
        <x:v>190.86</x:v>
      </x:c>
      <x:c r="F1132" s="18"/>
      <x:c r="G1132" s="18" t="n">
        <x:v>-190.86</x:v>
      </x:c>
      <x:c r="H1132" s="18" t="n">
        <x:f>H1131+G1132</x:f>
        <x:v>8996679.86999999</x:v>
      </x:c>
    </x:row>
    <x:row r="1133">
      <x:c r="A1133" s="20" t="n">
        <x:v>46184</x:v>
      </x:c>
      <x:c r="B1133" s="21" t="str">
        <x:v>CHK0028139</x:v>
      </x:c>
      <x:c r="C1133" s="21" t="str">
        <x:v>CHECK PAYMENT - Cross, Alexander and Romero - DP-2026-028139</x:v>
      </x:c>
      <x:c r="D1133" s="21" t="str">
        <x:v>Supplier payment</x:v>
      </x:c>
      <x:c r="E1133" s="18" t="n">
        <x:v>886.2</x:v>
      </x:c>
      <x:c r="F1133" s="18"/>
      <x:c r="G1133" s="18" t="n">
        <x:v>-886.2</x:v>
      </x:c>
      <x:c r="H1133" s="18" t="n">
        <x:f>H1132+G1133</x:f>
        <x:v>8995793.66999999</x:v>
      </x:c>
    </x:row>
    <x:row r="1134">
      <x:c r="A1134" s="20" t="n">
        <x:v>46184</x:v>
      </x:c>
      <x:c r="B1134" s="21" t="str">
        <x:v>CHK0028156</x:v>
      </x:c>
      <x:c r="C1134" s="21" t="str">
        <x:v>CHECK PAYMENT - Brown-Owens - DP-2026-028156</x:v>
      </x:c>
      <x:c r="D1134" s="21" t="str">
        <x:v>Supplier payment</x:v>
      </x:c>
      <x:c r="E1134" s="18" t="n">
        <x:v>194.72</x:v>
      </x:c>
      <x:c r="F1134" s="18"/>
      <x:c r="G1134" s="18" t="n">
        <x:v>-194.72</x:v>
      </x:c>
      <x:c r="H1134" s="18" t="n">
        <x:f>H1133+G1134</x:f>
        <x:v>8995598.94999999</x:v>
      </x:c>
    </x:row>
    <x:row r="1135">
      <x:c r="A1135" s="20" t="n">
        <x:v>46184</x:v>
      </x:c>
      <x:c r="B1135" s="21" t="str">
        <x:v>CHK0028182</x:v>
      </x:c>
      <x:c r="C1135" s="21" t="str">
        <x:v>CHECK PAYMENT - Hernandez, Melendez and Mcdowell - DP-2026-028182</x:v>
      </x:c>
      <x:c r="D1135" s="21" t="str">
        <x:v>Supplier payment</x:v>
      </x:c>
      <x:c r="E1135" s="18" t="n">
        <x:v>2146.79</x:v>
      </x:c>
      <x:c r="F1135" s="18"/>
      <x:c r="G1135" s="18" t="n">
        <x:v>-2146.79</x:v>
      </x:c>
      <x:c r="H1135" s="18" t="n">
        <x:f>H1134+G1135</x:f>
        <x:v>8993452.15999999</x:v>
      </x:c>
    </x:row>
    <x:row r="1136">
      <x:c r="A1136" s="20" t="n">
        <x:v>46184</x:v>
      </x:c>
      <x:c r="B1136" s="21" t="str">
        <x:v>CHK0028187</x:v>
      </x:c>
      <x:c r="C1136" s="21" t="str">
        <x:v>CHECK PAYMENT - Davis-Grant - DP-2026-028187</x:v>
      </x:c>
      <x:c r="D1136" s="21" t="str">
        <x:v>Supplier payment</x:v>
      </x:c>
      <x:c r="E1136" s="18" t="n">
        <x:v>1672.44</x:v>
      </x:c>
      <x:c r="F1136" s="18"/>
      <x:c r="G1136" s="18" t="n">
        <x:v>-1672.44</x:v>
      </x:c>
      <x:c r="H1136" s="18" t="n">
        <x:f>H1135+G1136</x:f>
        <x:v>8991779.719999991</x:v>
      </x:c>
    </x:row>
    <x:row r="1137">
      <x:c r="A1137" s="20" t="n">
        <x:v>46184</x:v>
      </x:c>
      <x:c r="B1137" s="21" t="str">
        <x:v>CHK0028196</x:v>
      </x:c>
      <x:c r="C1137" s="21" t="str">
        <x:v>CHECK PAYMENT - Gardner-Shelton - DP-2026-028196</x:v>
      </x:c>
      <x:c r="D1137" s="21" t="str">
        <x:v>Supplier payment</x:v>
      </x:c>
      <x:c r="E1137" s="18" t="n">
        <x:v>89.66</x:v>
      </x:c>
      <x:c r="F1137" s="18"/>
      <x:c r="G1137" s="18" t="n">
        <x:v>-89.66</x:v>
      </x:c>
      <x:c r="H1137" s="18" t="n">
        <x:f>H1136+G1137</x:f>
        <x:v>8991690.059999991</x:v>
      </x:c>
    </x:row>
    <x:row r="1138">
      <x:c r="A1138" s="20" t="n">
        <x:v>46184</x:v>
      </x:c>
      <x:c r="B1138" s="21" t="str">
        <x:v>DP-2026-025609</x:v>
      </x:c>
      <x:c r="C1138" s="21" t="str">
        <x:v>ACH PAYMENT - Hernandez, Melendez and Mcdowell - DP-2026-025609</x:v>
      </x:c>
      <x:c r="D1138" s="21" t="str">
        <x:v>Supplier payment</x:v>
      </x:c>
      <x:c r="E1138" s="18" t="n">
        <x:v>488.61</x:v>
      </x:c>
      <x:c r="F1138" s="18"/>
      <x:c r="G1138" s="18" t="n">
        <x:v>-488.61</x:v>
      </x:c>
      <x:c r="H1138" s="18" t="n">
        <x:f>H1137+G1138</x:f>
        <x:v>8991201.449999992</x:v>
      </x:c>
    </x:row>
    <x:row r="1139">
      <x:c r="A1139" s="20" t="n">
        <x:v>46184</x:v>
      </x:c>
      <x:c r="B1139" s="21" t="str">
        <x:v>DP-2026-025610</x:v>
      </x:c>
      <x:c r="C1139" s="21" t="str">
        <x:v>ACH PAYMENT - Brooks, Johnson and Olson - DP-2026-025610</x:v>
      </x:c>
      <x:c r="D1139" s="21" t="str">
        <x:v>Supplier payment</x:v>
      </x:c>
      <x:c r="E1139" s="18" t="n">
        <x:v>34572.78</x:v>
      </x:c>
      <x:c r="F1139" s="18"/>
      <x:c r="G1139" s="18" t="n">
        <x:v>-34572.78</x:v>
      </x:c>
      <x:c r="H1139" s="18" t="n">
        <x:f>H1138+G1139</x:f>
        <x:v>8956628.669999992</x:v>
      </x:c>
    </x:row>
    <x:row r="1140">
      <x:c r="A1140" s="20" t="n">
        <x:v>46184</x:v>
      </x:c>
      <x:c r="B1140" s="21" t="str">
        <x:v>DP-2026-025615</x:v>
      </x:c>
      <x:c r="C1140" s="21" t="str">
        <x:v>ACH PAYMENT - Hoffman LLC - DP-2026-025615</x:v>
      </x:c>
      <x:c r="D1140" s="21" t="str">
        <x:v>Supplier payment</x:v>
      </x:c>
      <x:c r="E1140" s="18" t="n">
        <x:v>1305.65</x:v>
      </x:c>
      <x:c r="F1140" s="18"/>
      <x:c r="G1140" s="18" t="n">
        <x:v>-1305.65</x:v>
      </x:c>
      <x:c r="H1140" s="18" t="n">
        <x:f>H1139+G1140</x:f>
        <x:v>8955323.019999992</x:v>
      </x:c>
    </x:row>
    <x:row r="1141">
      <x:c r="A1141" s="20" t="n">
        <x:v>46184</x:v>
      </x:c>
      <x:c r="B1141" s="21" t="str">
        <x:v>DP-2026-027117</x:v>
      </x:c>
      <x:c r="C1141" s="21" t="str">
        <x:v>ACH PAYMENT - Nelson-Rocha - DP-2026-027117</x:v>
      </x:c>
      <x:c r="D1141" s="21" t="str">
        <x:v>Supplier payment</x:v>
      </x:c>
      <x:c r="E1141" s="18" t="n">
        <x:v>24.13</x:v>
      </x:c>
      <x:c r="F1141" s="18"/>
      <x:c r="G1141" s="18" t="n">
        <x:v>-24.13</x:v>
      </x:c>
      <x:c r="H1141" s="18" t="n">
        <x:f>H1140+G1141</x:f>
        <x:v>8955298.889999991</x:v>
      </x:c>
    </x:row>
    <x:row r="1142">
      <x:c r="A1142" s="20" t="n">
        <x:v>46184</x:v>
      </x:c>
      <x:c r="B1142" s="21" t="str">
        <x:v>DP-2026-027123</x:v>
      </x:c>
      <x:c r="C1142" s="21" t="str">
        <x:v>ACH PAYMENT - Lindsey and Sons - DP-2026-027123</x:v>
      </x:c>
      <x:c r="D1142" s="21" t="str">
        <x:v>Supplier payment</x:v>
      </x:c>
      <x:c r="E1142" s="18" t="n">
        <x:v>188.29</x:v>
      </x:c>
      <x:c r="F1142" s="18"/>
      <x:c r="G1142" s="18" t="n">
        <x:v>-188.29</x:v>
      </x:c>
      <x:c r="H1142" s="18" t="n">
        <x:f>H1141+G1142</x:f>
        <x:v>8955110.599999992</x:v>
      </x:c>
    </x:row>
    <x:row r="1143">
      <x:c r="A1143" s="20" t="n">
        <x:v>46184</x:v>
      </x:c>
      <x:c r="B1143" s="21" t="str">
        <x:v>DP-2026-027131</x:v>
      </x:c>
      <x:c r="C1143" s="21" t="str">
        <x:v>ACH PAYMENT - Munoz, Garcia and Olsen - DP-2026-027131</x:v>
      </x:c>
      <x:c r="D1143" s="21" t="str">
        <x:v>Supplier payment</x:v>
      </x:c>
      <x:c r="E1143" s="18" t="n">
        <x:v>279.76</x:v>
      </x:c>
      <x:c r="F1143" s="18"/>
      <x:c r="G1143" s="18" t="n">
        <x:v>-279.76</x:v>
      </x:c>
      <x:c r="H1143" s="18" t="n">
        <x:f>H1142+G1143</x:f>
        <x:v>8954830.839999992</x:v>
      </x:c>
    </x:row>
    <x:row r="1144">
      <x:c r="A1144" s="20" t="n">
        <x:v>46184</x:v>
      </x:c>
      <x:c r="B1144" s="21" t="str">
        <x:v>DP-2026-027892</x:v>
      </x:c>
      <x:c r="C1144" s="21" t="str">
        <x:v>ACH PAYMENT - Watson, Mitchell and Chen - DP-2026-027892</x:v>
      </x:c>
      <x:c r="D1144" s="21" t="str">
        <x:v>Supplier payment</x:v>
      </x:c>
      <x:c r="E1144" s="18" t="n">
        <x:v>123.36</x:v>
      </x:c>
      <x:c r="F1144" s="18"/>
      <x:c r="G1144" s="18" t="n">
        <x:v>-123.36</x:v>
      </x:c>
      <x:c r="H1144" s="18" t="n">
        <x:f>H1143+G1144</x:f>
        <x:v>8954707.479999993</x:v>
      </x:c>
    </x:row>
    <x:row r="1145">
      <x:c r="A1145" s="20" t="n">
        <x:v>46184</x:v>
      </x:c>
      <x:c r="B1145" s="21" t="str">
        <x:v>DP-2026-027944</x:v>
      </x:c>
      <x:c r="C1145" s="21" t="str">
        <x:v>ACH PAYMENT - Brooks, Johnson and Olson - DP-2026-027944</x:v>
      </x:c>
      <x:c r="D1145" s="21" t="str">
        <x:v>Supplier payment</x:v>
      </x:c>
      <x:c r="E1145" s="18" t="n">
        <x:v>200.42</x:v>
      </x:c>
      <x:c r="F1145" s="18"/>
      <x:c r="G1145" s="18" t="n">
        <x:v>-200.42</x:v>
      </x:c>
      <x:c r="H1145" s="18" t="n">
        <x:f>H1144+G1145</x:f>
        <x:v>8954507.059999993</x:v>
      </x:c>
    </x:row>
    <x:row r="1146">
      <x:c r="A1146" s="20" t="n">
        <x:v>46184</x:v>
      </x:c>
      <x:c r="B1146" s="21" t="str">
        <x:v>DP-2026-028079</x:v>
      </x:c>
      <x:c r="C1146" s="21" t="str">
        <x:v>ACH PAYMENT - Hester Ltd - DP-2026-028079</x:v>
      </x:c>
      <x:c r="D1146" s="21" t="str">
        <x:v>Supplier payment</x:v>
      </x:c>
      <x:c r="E1146" s="18" t="n">
        <x:v>98.65</x:v>
      </x:c>
      <x:c r="F1146" s="18"/>
      <x:c r="G1146" s="18" t="n">
        <x:v>-98.65</x:v>
      </x:c>
      <x:c r="H1146" s="18" t="n">
        <x:f>H1145+G1146</x:f>
        <x:v>8954408.409999993</x:v>
      </x:c>
    </x:row>
    <x:row r="1147">
      <x:c r="A1147" s="20" t="n">
        <x:v>46184</x:v>
      </x:c>
      <x:c r="B1147" s="21" t="str">
        <x:v>DP-2026-028095</x:v>
      </x:c>
      <x:c r="C1147" s="21" t="str">
        <x:v>ACH PAYMENT - Collins-Johnson - DP-2026-028095</x:v>
      </x:c>
      <x:c r="D1147" s="21" t="str">
        <x:v>Supplier payment</x:v>
      </x:c>
      <x:c r="E1147" s="18" t="n">
        <x:v>576.81</x:v>
      </x:c>
      <x:c r="F1147" s="18"/>
      <x:c r="G1147" s="18" t="n">
        <x:v>-576.81</x:v>
      </x:c>
      <x:c r="H1147" s="18" t="n">
        <x:f>H1146+G1147</x:f>
        <x:v>8953831.599999992</x:v>
      </x:c>
    </x:row>
    <x:row r="1148">
      <x:c r="A1148" s="20" t="n">
        <x:v>46184</x:v>
      </x:c>
      <x:c r="B1148" s="21" t="str">
        <x:v>DP-2026-028128</x:v>
      </x:c>
      <x:c r="C1148" s="21" t="str">
        <x:v>ACH PAYMENT - Harris, Taylor and Perkins - DP-2026-028128</x:v>
      </x:c>
      <x:c r="D1148" s="21" t="str">
        <x:v>Supplier payment</x:v>
      </x:c>
      <x:c r="E1148" s="18" t="n">
        <x:v>471.18</x:v>
      </x:c>
      <x:c r="F1148" s="18"/>
      <x:c r="G1148" s="18" t="n">
        <x:v>-471.18</x:v>
      </x:c>
      <x:c r="H1148" s="18" t="n">
        <x:f>H1147+G1148</x:f>
        <x:v>8953360.419999992</x:v>
      </x:c>
    </x:row>
    <x:row r="1149">
      <x:c r="A1149" s="20" t="n">
        <x:v>46184</x:v>
      </x:c>
      <x:c r="B1149" s="21" t="str">
        <x:v>DP-2026-028129</x:v>
      </x:c>
      <x:c r="C1149" s="21" t="str">
        <x:v>ACH PAYMENT - Hoffman LLC - DP-2026-028129</x:v>
      </x:c>
      <x:c r="D1149" s="21" t="str">
        <x:v>Supplier payment</x:v>
      </x:c>
      <x:c r="E1149" s="18" t="n">
        <x:v>654.72</x:v>
      </x:c>
      <x:c r="F1149" s="18"/>
      <x:c r="G1149" s="18" t="n">
        <x:v>-654.72</x:v>
      </x:c>
      <x:c r="H1149" s="18" t="n">
        <x:f>H1148+G1149</x:f>
        <x:v>8952705.699999992</x:v>
      </x:c>
    </x:row>
    <x:row r="1150">
      <x:c r="A1150" s="20" t="n">
        <x:v>46184</x:v>
      </x:c>
      <x:c r="B1150" s="21" t="str">
        <x:v>DP-2026-028140</x:v>
      </x:c>
      <x:c r="C1150" s="21" t="str">
        <x:v>ACH PAYMENT - Munoz, Garcia and Olsen - DP-2026-028140</x:v>
      </x:c>
      <x:c r="D1150" s="21" t="str">
        <x:v>Supplier payment</x:v>
      </x:c>
      <x:c r="E1150" s="18" t="n">
        <x:v>671.41</x:v>
      </x:c>
      <x:c r="F1150" s="18"/>
      <x:c r="G1150" s="18" t="n">
        <x:v>-671.41</x:v>
      </x:c>
      <x:c r="H1150" s="18" t="n">
        <x:f>H1149+G1150</x:f>
        <x:v>8952034.289999992</x:v>
      </x:c>
    </x:row>
    <x:row r="1151">
      <x:c r="A1151" s="20" t="n">
        <x:v>46184</x:v>
      </x:c>
      <x:c r="B1151" s="21" t="str">
        <x:v>DP-2026-028158</x:v>
      </x:c>
      <x:c r="C1151" s="21" t="str">
        <x:v>ACH PAYMENT - Watts-Strickland - DP-2026-028158</x:v>
      </x:c>
      <x:c r="D1151" s="21" t="str">
        <x:v>Supplier payment</x:v>
      </x:c>
      <x:c r="E1151" s="18" t="n">
        <x:v>1547.9</x:v>
      </x:c>
      <x:c r="F1151" s="18"/>
      <x:c r="G1151" s="18" t="n">
        <x:v>-1547.9</x:v>
      </x:c>
      <x:c r="H1151" s="18" t="n">
        <x:f>H1150+G1151</x:f>
        <x:v>8950486.389999991</x:v>
      </x:c>
    </x:row>
    <x:row r="1152">
      <x:c r="A1152" s="20" t="n">
        <x:v>46184</x:v>
      </x:c>
      <x:c r="B1152" s="21" t="str">
        <x:v>DP-2026-028185</x:v>
      </x:c>
      <x:c r="C1152" s="21" t="str">
        <x:v>ACH PAYMENT - Chambers PLC - DP-2026-028185</x:v>
      </x:c>
      <x:c r="D1152" s="21" t="str">
        <x:v>Supplier payment</x:v>
      </x:c>
      <x:c r="E1152" s="18" t="n">
        <x:v>1412.79</x:v>
      </x:c>
      <x:c r="F1152" s="18"/>
      <x:c r="G1152" s="18" t="n">
        <x:v>-1412.79</x:v>
      </x:c>
      <x:c r="H1152" s="18" t="n">
        <x:f>H1151+G1152</x:f>
        <x:v>8949073.599999992</x:v>
      </x:c>
    </x:row>
    <x:row r="1153">
      <x:c r="A1153" s="20" t="n">
        <x:v>46184</x:v>
      </x:c>
      <x:c r="B1153" s="21" t="str">
        <x:v>DP-2026-028214</x:v>
      </x:c>
      <x:c r="C1153" s="21" t="str">
        <x:v>ACH PAYMENT - Diaz Group - DP-2026-028214</x:v>
      </x:c>
      <x:c r="D1153" s="21" t="str">
        <x:v>Supplier payment</x:v>
      </x:c>
      <x:c r="E1153" s="18" t="n">
        <x:v>25.45</x:v>
      </x:c>
      <x:c r="F1153" s="18"/>
      <x:c r="G1153" s="18" t="n">
        <x:v>-25.45</x:v>
      </x:c>
      <x:c r="H1153" s="18" t="n">
        <x:f>H1152+G1153</x:f>
        <x:v>8949048.149999993</x:v>
      </x:c>
    </x:row>
    <x:row r="1154">
      <x:c r="A1154" s="20" t="n">
        <x:v>46185</x:v>
      </x:c>
      <x:c r="B1154" s="21" t="str">
        <x:v>ACH-RET-0612</x:v>
      </x:c>
      <x:c r="C1154" s="21" t="str">
        <x:v>RETURNED CUSTOMER ACH - INSUFFICIENT FUNDS</x:v>
      </x:c>
      <x:c r="D1154" s="21" t="str">
        <x:v>Returned deposit</x:v>
      </x:c>
      <x:c r="E1154" s="18" t="n">
        <x:v>2951.3</x:v>
      </x:c>
      <x:c r="F1154" s="18"/>
      <x:c r="G1154" s="18" t="n">
        <x:v>-2951.3</x:v>
      </x:c>
      <x:c r="H1154" s="18" t="n">
        <x:f>H1153+G1154</x:f>
        <x:v>8946096.849999992</x:v>
      </x:c>
    </x:row>
    <x:row r="1155">
      <x:c r="A1155" s="20" t="n">
        <x:v>46185</x:v>
      </x:c>
      <x:c r="B1155" s="21" t="str">
        <x:v>AR00005928</x:v>
      </x:c>
      <x:c r="C1155" s="21" t="str">
        <x:v>CUSTOMER DEPOSIT - Diaz, Welch and Faulkner - CR-2026-005928</x:v>
      </x:c>
      <x:c r="D1155" s="21" t="str">
        <x:v>Customer deposit</x:v>
      </x:c>
      <x:c r="E1155" s="18"/>
      <x:c r="F1155" s="18" t="n">
        <x:v>8230.4</x:v>
      </x:c>
      <x:c r="G1155" s="18" t="n">
        <x:v>8230.4</x:v>
      </x:c>
      <x:c r="H1155" s="18" t="n">
        <x:f>H1154+G1155</x:f>
        <x:v>8954327.249999993</x:v>
      </x:c>
    </x:row>
    <x:row r="1156">
      <x:c r="A1156" s="20" t="n">
        <x:v>46185</x:v>
      </x:c>
      <x:c r="B1156" s="21" t="str">
        <x:v>AR00005938</x:v>
      </x:c>
      <x:c r="C1156" s="21" t="str">
        <x:v>CUSTOMER DEPOSIT - Calderon-Dickerson - CR-2026-005938</x:v>
      </x:c>
      <x:c r="D1156" s="21" t="str">
        <x:v>Customer deposit</x:v>
      </x:c>
      <x:c r="E1156" s="18"/>
      <x:c r="F1156" s="18" t="n">
        <x:v>11872.26</x:v>
      </x:c>
      <x:c r="G1156" s="18" t="n">
        <x:v>11872.26</x:v>
      </x:c>
      <x:c r="H1156" s="18" t="n">
        <x:f>H1155+G1156</x:f>
        <x:v>8966199.509999992</x:v>
      </x:c>
    </x:row>
    <x:row r="1157">
      <x:c r="A1157" s="20" t="n">
        <x:v>46185</x:v>
      </x:c>
      <x:c r="B1157" s="21" t="str">
        <x:v>AR00005945</x:v>
      </x:c>
      <x:c r="C1157" s="21" t="str">
        <x:v>CUSTOMER DEPOSIT - Sanchez, Lee and Jones - CR-2026-005945</x:v>
      </x:c>
      <x:c r="D1157" s="21" t="str">
        <x:v>Customer deposit</x:v>
      </x:c>
      <x:c r="E1157" s="18"/>
      <x:c r="F1157" s="18" t="n">
        <x:v>17665.94</x:v>
      </x:c>
      <x:c r="G1157" s="18" t="n">
        <x:v>17665.94</x:v>
      </x:c>
      <x:c r="H1157" s="18" t="n">
        <x:f>H1156+G1157</x:f>
        <x:v>8983865.449999992</x:v>
      </x:c>
    </x:row>
    <x:row r="1158">
      <x:c r="A1158" s="20" t="n">
        <x:v>46185</x:v>
      </x:c>
      <x:c r="B1158" s="21" t="str">
        <x:v>AR00005961</x:v>
      </x:c>
      <x:c r="C1158" s="21" t="str">
        <x:v>CUSTOMER DEPOSIT - Swanson, Escobar and Werner - CR-2026-005961</x:v>
      </x:c>
      <x:c r="D1158" s="21" t="str">
        <x:v>Customer deposit</x:v>
      </x:c>
      <x:c r="E1158" s="18"/>
      <x:c r="F1158" s="18" t="n">
        <x:v>3924.02</x:v>
      </x:c>
      <x:c r="G1158" s="18" t="n">
        <x:v>3924.02</x:v>
      </x:c>
      <x:c r="H1158" s="18" t="n">
        <x:f>H1157+G1158</x:f>
        <x:v>8987789.469999991</x:v>
      </x:c>
    </x:row>
    <x:row r="1159">
      <x:c r="A1159" s="20" t="n">
        <x:v>46185</x:v>
      </x:c>
      <x:c r="B1159" s="21" t="str">
        <x:v>AR00005963</x:v>
      </x:c>
      <x:c r="C1159" s="21" t="str">
        <x:v>CUSTOMER DEPOSIT - Hart and Sons - CR-2026-005963</x:v>
      </x:c>
      <x:c r="D1159" s="21" t="str">
        <x:v>Customer deposit</x:v>
      </x:c>
      <x:c r="E1159" s="18"/>
      <x:c r="F1159" s="18" t="n">
        <x:v>7700.46</x:v>
      </x:c>
      <x:c r="G1159" s="18" t="n">
        <x:v>7700.46</x:v>
      </x:c>
      <x:c r="H1159" s="18" t="n">
        <x:f>H1158+G1159</x:f>
        <x:v>8995489.929999992</x:v>
      </x:c>
    </x:row>
    <x:row r="1160">
      <x:c r="A1160" s="20" t="n">
        <x:v>46185</x:v>
      </x:c>
      <x:c r="B1160" s="21" t="str">
        <x:v>AR00005976</x:v>
      </x:c>
      <x:c r="C1160" s="21" t="str">
        <x:v>CUSTOMER DEPOSIT - Jensen, Carroll and Gonzales - CR-2026-005976</x:v>
      </x:c>
      <x:c r="D1160" s="21" t="str">
        <x:v>Customer deposit</x:v>
      </x:c>
      <x:c r="E1160" s="18"/>
      <x:c r="F1160" s="18" t="n">
        <x:v>495.08</x:v>
      </x:c>
      <x:c r="G1160" s="18" t="n">
        <x:v>495.08</x:v>
      </x:c>
      <x:c r="H1160" s="18" t="n">
        <x:f>H1159+G1160</x:f>
        <x:v>8995985.009999992</x:v>
      </x:c>
    </x:row>
    <x:row r="1161">
      <x:c r="A1161" s="20" t="n">
        <x:v>46185</x:v>
      </x:c>
      <x:c r="B1161" s="21" t="str">
        <x:v>AR00005991</x:v>
      </x:c>
      <x:c r="C1161" s="21" t="str">
        <x:v>CUSTOMER DEPOSIT - Barker PLC - CR-2026-005991</x:v>
      </x:c>
      <x:c r="D1161" s="21" t="str">
        <x:v>Customer deposit</x:v>
      </x:c>
      <x:c r="E1161" s="18"/>
      <x:c r="F1161" s="18" t="n">
        <x:v>23016.35</x:v>
      </x:c>
      <x:c r="G1161" s="18" t="n">
        <x:v>23016.35</x:v>
      </x:c>
      <x:c r="H1161" s="18" t="n">
        <x:f>H1160+G1161</x:f>
        <x:v>9019001.359999992</x:v>
      </x:c>
    </x:row>
    <x:row r="1162">
      <x:c r="A1162" s="20" t="n">
        <x:v>46185</x:v>
      </x:c>
      <x:c r="B1162" s="21" t="str">
        <x:v>AR00005994</x:v>
      </x:c>
      <x:c r="C1162" s="21" t="str">
        <x:v>CUSTOMER DEPOSIT - Mason, Lee and Cortez - CR-2026-005994</x:v>
      </x:c>
      <x:c r="D1162" s="21" t="str">
        <x:v>Customer deposit</x:v>
      </x:c>
      <x:c r="E1162" s="18"/>
      <x:c r="F1162" s="18" t="n">
        <x:v>9504.89</x:v>
      </x:c>
      <x:c r="G1162" s="18" t="n">
        <x:v>9504.89</x:v>
      </x:c>
      <x:c r="H1162" s="18" t="n">
        <x:f>H1161+G1162</x:f>
        <x:v>9028506.249999993</x:v>
      </x:c>
    </x:row>
    <x:row r="1163">
      <x:c r="A1163" s="20" t="n">
        <x:v>46185</x:v>
      </x:c>
      <x:c r="B1163" s="21" t="str">
        <x:v>AR00005998</x:v>
      </x:c>
      <x:c r="C1163" s="21" t="str">
        <x:v>CUSTOMER DEPOSIT - Eaton, Robertson and Grant - CR-2026-005998</x:v>
      </x:c>
      <x:c r="D1163" s="21" t="str">
        <x:v>Customer deposit</x:v>
      </x:c>
      <x:c r="E1163" s="18"/>
      <x:c r="F1163" s="18" t="n">
        <x:v>53778.72</x:v>
      </x:c>
      <x:c r="G1163" s="18" t="n">
        <x:v>53778.72</x:v>
      </x:c>
      <x:c r="H1163" s="18" t="n">
        <x:f>H1162+G1163</x:f>
        <x:v>9082284.969999993</x:v>
      </x:c>
    </x:row>
    <x:row r="1164">
      <x:c r="A1164" s="20" t="n">
        <x:v>46185</x:v>
      </x:c>
      <x:c r="B1164" s="21" t="str">
        <x:v>AR00006004</x:v>
      </x:c>
      <x:c r="C1164" s="21" t="str">
        <x:v>CUSTOMER DEPOSIT - Robinson-Mullins - CR-2026-006004</x:v>
      </x:c>
      <x:c r="D1164" s="21" t="str">
        <x:v>Customer deposit</x:v>
      </x:c>
      <x:c r="E1164" s="18"/>
      <x:c r="F1164" s="18" t="n">
        <x:v>12374.62</x:v>
      </x:c>
      <x:c r="G1164" s="18" t="n">
        <x:v>12374.62</x:v>
      </x:c>
      <x:c r="H1164" s="18" t="n">
        <x:f>H1163+G1164</x:f>
        <x:v>9094659.589999992</x:v>
      </x:c>
    </x:row>
    <x:row r="1165">
      <x:c r="A1165" s="20" t="n">
        <x:v>46185</x:v>
      </x:c>
      <x:c r="B1165" s="21" t="str">
        <x:v>AR00006006</x:v>
      </x:c>
      <x:c r="C1165" s="21" t="str">
        <x:v>CUSTOMER DEPOSIT - Robinson, Phillips and Williams - CR-2026-006006</x:v>
      </x:c>
      <x:c r="D1165" s="21" t="str">
        <x:v>Customer deposit</x:v>
      </x:c>
      <x:c r="E1165" s="18"/>
      <x:c r="F1165" s="18" t="n">
        <x:v>12340.06</x:v>
      </x:c>
      <x:c r="G1165" s="18" t="n">
        <x:v>12340.06</x:v>
      </x:c>
      <x:c r="H1165" s="18" t="n">
        <x:f>H1164+G1165</x:f>
        <x:v>9106999.649999993</x:v>
      </x:c>
    </x:row>
    <x:row r="1166">
      <x:c r="A1166" s="20" t="n">
        <x:v>46185</x:v>
      </x:c>
      <x:c r="B1166" s="21" t="str">
        <x:v>AR00006010</x:v>
      </x:c>
      <x:c r="C1166" s="21" t="str">
        <x:v>CUSTOMER DEPOSIT - Armstrong PLC - CR-2026-006010</x:v>
      </x:c>
      <x:c r="D1166" s="21" t="str">
        <x:v>Customer deposit</x:v>
      </x:c>
      <x:c r="E1166" s="18"/>
      <x:c r="F1166" s="18" t="n">
        <x:v>20905.93</x:v>
      </x:c>
      <x:c r="G1166" s="18" t="n">
        <x:v>20905.93</x:v>
      </x:c>
      <x:c r="H1166" s="18" t="n">
        <x:f>H1165+G1166</x:f>
        <x:v>9127905.579999993</x:v>
      </x:c>
    </x:row>
    <x:row r="1167">
      <x:c r="A1167" s="20" t="n">
        <x:v>46185</x:v>
      </x:c>
      <x:c r="B1167" s="21" t="str">
        <x:v>AR00006024</x:v>
      </x:c>
      <x:c r="C1167" s="21" t="str">
        <x:v>CUSTOMER DEPOSIT - Estrada, White and Keller - CR-2026-006024</x:v>
      </x:c>
      <x:c r="D1167" s="21" t="str">
        <x:v>Customer deposit</x:v>
      </x:c>
      <x:c r="E1167" s="18"/>
      <x:c r="F1167" s="18" t="n">
        <x:v>35912.86</x:v>
      </x:c>
      <x:c r="G1167" s="18" t="n">
        <x:v>35912.86</x:v>
      </x:c>
      <x:c r="H1167" s="18" t="n">
        <x:f>H1166+G1167</x:f>
        <x:v>9163818.439999992</x:v>
      </x:c>
    </x:row>
    <x:row r="1168">
      <x:c r="A1168" s="20" t="n">
        <x:v>46185</x:v>
      </x:c>
      <x:c r="B1168" s="21" t="str">
        <x:v>AR00006033</x:v>
      </x:c>
      <x:c r="C1168" s="21" t="str">
        <x:v>CUSTOMER DEPOSIT - Miller-Larson - CR-2026-006033</x:v>
      </x:c>
      <x:c r="D1168" s="21" t="str">
        <x:v>Customer deposit</x:v>
      </x:c>
      <x:c r="E1168" s="18"/>
      <x:c r="F1168" s="18" t="n">
        <x:v>2028.32</x:v>
      </x:c>
      <x:c r="G1168" s="18" t="n">
        <x:v>2028.32</x:v>
      </x:c>
      <x:c r="H1168" s="18" t="n">
        <x:f>H1167+G1168</x:f>
        <x:v>9165846.759999992</x:v>
      </x:c>
    </x:row>
    <x:row r="1169">
      <x:c r="A1169" s="20" t="n">
        <x:v>46185</x:v>
      </x:c>
      <x:c r="B1169" s="21" t="str">
        <x:v>AR00006034</x:v>
      </x:c>
      <x:c r="C1169" s="21" t="str">
        <x:v>CUSTOMER DEPOSIT - Parker and Sons - CR-2026-006034</x:v>
      </x:c>
      <x:c r="D1169" s="21" t="str">
        <x:v>Customer deposit</x:v>
      </x:c>
      <x:c r="E1169" s="18"/>
      <x:c r="F1169" s="18" t="n">
        <x:v>6259.66</x:v>
      </x:c>
      <x:c r="G1169" s="18" t="n">
        <x:v>6259.66</x:v>
      </x:c>
      <x:c r="H1169" s="18" t="n">
        <x:f>H1168+G1169</x:f>
        <x:v>9172106.419999992</x:v>
      </x:c>
    </x:row>
    <x:row r="1170">
      <x:c r="A1170" s="20" t="n">
        <x:v>46185</x:v>
      </x:c>
      <x:c r="B1170" s="21" t="str">
        <x:v>AR00006037</x:v>
      </x:c>
      <x:c r="C1170" s="21" t="str">
        <x:v>CUSTOMER DEPOSIT - West-Mcclure - CR-2026-006037</x:v>
      </x:c>
      <x:c r="D1170" s="21" t="str">
        <x:v>Customer deposit</x:v>
      </x:c>
      <x:c r="E1170" s="18"/>
      <x:c r="F1170" s="18" t="n">
        <x:v>4908.11</x:v>
      </x:c>
      <x:c r="G1170" s="18" t="n">
        <x:v>4908.11</x:v>
      </x:c>
      <x:c r="H1170" s="18" t="n">
        <x:f>H1169+G1170</x:f>
        <x:v>9177014.529999992</x:v>
      </x:c>
    </x:row>
    <x:row r="1171">
      <x:c r="A1171" s="20" t="n">
        <x:v>46185</x:v>
      </x:c>
      <x:c r="B1171" s="21" t="str">
        <x:v>AR00006045</x:v>
      </x:c>
      <x:c r="C1171" s="21" t="str">
        <x:v>CUSTOMER DEPOSIT - Lloyd, Mitchell and Pennington - CR-2026-006045</x:v>
      </x:c>
      <x:c r="D1171" s="21" t="str">
        <x:v>Customer deposit</x:v>
      </x:c>
      <x:c r="E1171" s="18"/>
      <x:c r="F1171" s="18" t="n">
        <x:v>1603.01</x:v>
      </x:c>
      <x:c r="G1171" s="18" t="n">
        <x:v>1603.01</x:v>
      </x:c>
      <x:c r="H1171" s="18" t="n">
        <x:f>H1170+G1171</x:f>
        <x:v>9178617.539999992</x:v>
      </x:c>
    </x:row>
    <x:row r="1172">
      <x:c r="A1172" s="20" t="n">
        <x:v>46185</x:v>
      </x:c>
      <x:c r="B1172" s="21" t="str">
        <x:v>AR00006062</x:v>
      </x:c>
      <x:c r="C1172" s="21" t="str">
        <x:v>CUSTOMER DEPOSIT - Jenkins PLC - CR-2026-006062</x:v>
      </x:c>
      <x:c r="D1172" s="21" t="str">
        <x:v>Customer deposit</x:v>
      </x:c>
      <x:c r="E1172" s="18"/>
      <x:c r="F1172" s="18" t="n">
        <x:v>1277.04</x:v>
      </x:c>
      <x:c r="G1172" s="18" t="n">
        <x:v>1277.04</x:v>
      </x:c>
      <x:c r="H1172" s="18" t="n">
        <x:f>H1171+G1172</x:f>
        <x:v>9179894.57999999</x:v>
      </x:c>
    </x:row>
    <x:row r="1173">
      <x:c r="A1173" s="20" t="n">
        <x:v>46185</x:v>
      </x:c>
      <x:c r="B1173" s="21" t="str">
        <x:v>AR00006076</x:v>
      </x:c>
      <x:c r="C1173" s="21" t="str">
        <x:v>CUSTOMER DEPOSIT - Bullock-Hernandez - CR-2026-006076</x:v>
      </x:c>
      <x:c r="D1173" s="21" t="str">
        <x:v>Customer deposit</x:v>
      </x:c>
      <x:c r="E1173" s="18"/>
      <x:c r="F1173" s="18" t="n">
        <x:v>24610.69</x:v>
      </x:c>
      <x:c r="G1173" s="18" t="n">
        <x:v>24610.69</x:v>
      </x:c>
      <x:c r="H1173" s="18" t="n">
        <x:f>H1172+G1173</x:f>
        <x:v>9204505.26999999</x:v>
      </x:c>
    </x:row>
    <x:row r="1174">
      <x:c r="A1174" s="20" t="n">
        <x:v>46185</x:v>
      </x:c>
      <x:c r="B1174" s="21" t="str">
        <x:v>AR00006080</x:v>
      </x:c>
      <x:c r="C1174" s="21" t="str">
        <x:v>CUSTOMER DEPOSIT - Torres-Ellis - CR-2026-006080</x:v>
      </x:c>
      <x:c r="D1174" s="21" t="str">
        <x:v>Customer deposit</x:v>
      </x:c>
      <x:c r="E1174" s="18"/>
      <x:c r="F1174" s="18" t="n">
        <x:v>39622.04</x:v>
      </x:c>
      <x:c r="G1174" s="18" t="n">
        <x:v>39622.04</x:v>
      </x:c>
      <x:c r="H1174" s="18" t="n">
        <x:f>H1173+G1174</x:f>
        <x:v>9244127.30999999</x:v>
      </x:c>
    </x:row>
    <x:row r="1175">
      <x:c r="A1175" s="20" t="n">
        <x:v>46185</x:v>
      </x:c>
      <x:c r="B1175" s="21" t="str">
        <x:v>AR00006086</x:v>
      </x:c>
      <x:c r="C1175" s="21" t="str">
        <x:v>CUSTOMER DEPOSIT - Graham, Williams and Miranda - CR-2026-006086</x:v>
      </x:c>
      <x:c r="D1175" s="21" t="str">
        <x:v>Customer deposit</x:v>
      </x:c>
      <x:c r="E1175" s="18"/>
      <x:c r="F1175" s="18" t="n">
        <x:v>3200.84</x:v>
      </x:c>
      <x:c r="G1175" s="18" t="n">
        <x:v>3200.84</x:v>
      </x:c>
      <x:c r="H1175" s="18" t="n">
        <x:f>H1174+G1175</x:f>
        <x:v>9247328.14999999</x:v>
      </x:c>
    </x:row>
    <x:row r="1176">
      <x:c r="A1176" s="20" t="n">
        <x:v>46185</x:v>
      </x:c>
      <x:c r="B1176" s="21" t="str">
        <x:v>AR00006088</x:v>
      </x:c>
      <x:c r="C1176" s="21" t="str">
        <x:v>CUSTOMER DEPOSIT - Miller-Hernandez - CR-2026-006088</x:v>
      </x:c>
      <x:c r="D1176" s="21" t="str">
        <x:v>Customer deposit</x:v>
      </x:c>
      <x:c r="E1176" s="18"/>
      <x:c r="F1176" s="18" t="n">
        <x:v>43395.79</x:v>
      </x:c>
      <x:c r="G1176" s="18" t="n">
        <x:v>43395.79</x:v>
      </x:c>
      <x:c r="H1176" s="18" t="n">
        <x:f>H1175+G1176</x:f>
        <x:v>9290723.939999988</x:v>
      </x:c>
    </x:row>
    <x:row r="1177">
      <x:c r="A1177" s="20" t="n">
        <x:v>46185</x:v>
      </x:c>
      <x:c r="B1177" s="21" t="str">
        <x:v>AR00006097</x:v>
      </x:c>
      <x:c r="C1177" s="21" t="str">
        <x:v>CUSTOMER DEPOSIT - Harris-Duncan - CR-2026-006097</x:v>
      </x:c>
      <x:c r="D1177" s="21" t="str">
        <x:v>Customer deposit</x:v>
      </x:c>
      <x:c r="E1177" s="18"/>
      <x:c r="F1177" s="18" t="n">
        <x:v>1557.25</x:v>
      </x:c>
      <x:c r="G1177" s="18" t="n">
        <x:v>1557.25</x:v>
      </x:c>
      <x:c r="H1177" s="18" t="n">
        <x:f>H1176+G1177</x:f>
        <x:v>9292281.189999988</x:v>
      </x:c>
    </x:row>
    <x:row r="1178">
      <x:c r="A1178" s="20" t="n">
        <x:v>46185</x:v>
      </x:c>
      <x:c r="B1178" s="21" t="str">
        <x:v>AR00006099</x:v>
      </x:c>
      <x:c r="C1178" s="21" t="str">
        <x:v>CUSTOMER DEPOSIT - Tate and Sons - CR-2026-006099</x:v>
      </x:c>
      <x:c r="D1178" s="21" t="str">
        <x:v>Customer deposit</x:v>
      </x:c>
      <x:c r="E1178" s="18"/>
      <x:c r="F1178" s="18" t="n">
        <x:v>15726.56</x:v>
      </x:c>
      <x:c r="G1178" s="18" t="n">
        <x:v>15726.56</x:v>
      </x:c>
      <x:c r="H1178" s="18" t="n">
        <x:f>H1177+G1178</x:f>
        <x:v>9308007.749999989</x:v>
      </x:c>
    </x:row>
    <x:row r="1179">
      <x:c r="A1179" s="20" t="n">
        <x:v>46185</x:v>
      </x:c>
      <x:c r="B1179" s="21" t="str">
        <x:v>AR00006103</x:v>
      </x:c>
      <x:c r="C1179" s="21" t="str">
        <x:v>CUSTOMER DEPOSIT - Brady, Griffin and Charles - CR-2026-006103</x:v>
      </x:c>
      <x:c r="D1179" s="21" t="str">
        <x:v>Customer deposit</x:v>
      </x:c>
      <x:c r="E1179" s="18"/>
      <x:c r="F1179" s="18" t="n">
        <x:v>10714.76</x:v>
      </x:c>
      <x:c r="G1179" s="18" t="n">
        <x:v>10714.76</x:v>
      </x:c>
      <x:c r="H1179" s="18" t="n">
        <x:f>H1178+G1179</x:f>
        <x:v>9318722.509999989</x:v>
      </x:c>
    </x:row>
    <x:row r="1180">
      <x:c r="A1180" s="20" t="n">
        <x:v>46185</x:v>
      </x:c>
      <x:c r="B1180" s="21" t="str">
        <x:v>AR00006106</x:v>
      </x:c>
      <x:c r="C1180" s="21" t="str">
        <x:v>CUSTOMER DEPOSIT - Olson-Young - CR-2026-006106</x:v>
      </x:c>
      <x:c r="D1180" s="21" t="str">
        <x:v>Customer deposit</x:v>
      </x:c>
      <x:c r="E1180" s="18"/>
      <x:c r="F1180" s="18" t="n">
        <x:v>15504.45</x:v>
      </x:c>
      <x:c r="G1180" s="18" t="n">
        <x:v>15504.45</x:v>
      </x:c>
      <x:c r="H1180" s="18" t="n">
        <x:f>H1179+G1180</x:f>
        <x:v>9334226.959999988</x:v>
      </x:c>
    </x:row>
    <x:row r="1181">
      <x:c r="A1181" s="20" t="n">
        <x:v>46185</x:v>
      </x:c>
      <x:c r="B1181" s="21" t="str">
        <x:v>AR00006109</x:v>
      </x:c>
      <x:c r="C1181" s="21" t="str">
        <x:v>CUSTOMER DEPOSIT - Stanton-Foster - CR-2026-006109</x:v>
      </x:c>
      <x:c r="D1181" s="21" t="str">
        <x:v>Customer deposit</x:v>
      </x:c>
      <x:c r="E1181" s="18"/>
      <x:c r="F1181" s="18" t="n">
        <x:v>9678.02</x:v>
      </x:c>
      <x:c r="G1181" s="18" t="n">
        <x:v>9678.02</x:v>
      </x:c>
      <x:c r="H1181" s="18" t="n">
        <x:f>H1180+G1181</x:f>
        <x:v>9343904.979999987</x:v>
      </x:c>
    </x:row>
    <x:row r="1182">
      <x:c r="A1182" s="20" t="n">
        <x:v>46185</x:v>
      </x:c>
      <x:c r="B1182" s="21" t="str">
        <x:v>AR00006130</x:v>
      </x:c>
      <x:c r="C1182" s="21" t="str">
        <x:v>CUSTOMER DEPOSIT - Wells, Harrison and Todd - CR-2026-006130</x:v>
      </x:c>
      <x:c r="D1182" s="21" t="str">
        <x:v>Customer deposit</x:v>
      </x:c>
      <x:c r="E1182" s="18"/>
      <x:c r="F1182" s="18" t="n">
        <x:v>18969.36</x:v>
      </x:c>
      <x:c r="G1182" s="18" t="n">
        <x:v>18969.36</x:v>
      </x:c>
      <x:c r="H1182" s="18" t="n">
        <x:f>H1181+G1182</x:f>
        <x:v>9362874.339999987</x:v>
      </x:c>
    </x:row>
    <x:row r="1183">
      <x:c r="A1183" s="20" t="n">
        <x:v>46185</x:v>
      </x:c>
      <x:c r="B1183" s="21" t="str">
        <x:v>CHK0025612</x:v>
      </x:c>
      <x:c r="C1183" s="21" t="str">
        <x:v>CHECK PAYMENT - Harris and Sons - DP-2026-025612</x:v>
      </x:c>
      <x:c r="D1183" s="21" t="str">
        <x:v>Supplier payment</x:v>
      </x:c>
      <x:c r="E1183" s="18" t="n">
        <x:v>666.93</x:v>
      </x:c>
      <x:c r="F1183" s="18"/>
      <x:c r="G1183" s="18" t="n">
        <x:v>-666.93</x:v>
      </x:c>
      <x:c r="H1183" s="18" t="n">
        <x:f>H1182+G1183</x:f>
        <x:v>9362207.409999987</x:v>
      </x:c>
    </x:row>
    <x:row r="1184">
      <x:c r="A1184" s="20" t="n">
        <x:v>46185</x:v>
      </x:c>
      <x:c r="B1184" s="21" t="str">
        <x:v>CHK0027128</x:v>
      </x:c>
      <x:c r="C1184" s="21" t="str">
        <x:v>CHECK PAYMENT - Hernandez, Melendez and Mcdowell - DP-2026-027128</x:v>
      </x:c>
      <x:c r="D1184" s="21" t="str">
        <x:v>Supplier payment</x:v>
      </x:c>
      <x:c r="E1184" s="18" t="n">
        <x:v>292.51</x:v>
      </x:c>
      <x:c r="F1184" s="18"/>
      <x:c r="G1184" s="18" t="n">
        <x:v>-292.51</x:v>
      </x:c>
      <x:c r="H1184" s="18" t="n">
        <x:f>H1183+G1184</x:f>
        <x:v>9361914.899999987</x:v>
      </x:c>
    </x:row>
    <x:row r="1185">
      <x:c r="A1185" s="20" t="n">
        <x:v>46185</x:v>
      </x:c>
      <x:c r="B1185" s="21" t="str">
        <x:v>CHK0027129</x:v>
      </x:c>
      <x:c r="C1185" s="21" t="str">
        <x:v>CHECK PAYMENT - Villarreal, Mcdonald and Scott - DP-2026-027129</x:v>
      </x:c>
      <x:c r="D1185" s="21" t="str">
        <x:v>Supplier payment</x:v>
      </x:c>
      <x:c r="E1185" s="18" t="n">
        <x:v>2211.5</x:v>
      </x:c>
      <x:c r="F1185" s="18"/>
      <x:c r="G1185" s="18" t="n">
        <x:v>-2211.5</x:v>
      </x:c>
      <x:c r="H1185" s="18" t="n">
        <x:f>H1184+G1185</x:f>
        <x:v>9359703.399999987</x:v>
      </x:c>
    </x:row>
    <x:row r="1186">
      <x:c r="A1186" s="20" t="n">
        <x:v>46185</x:v>
      </x:c>
      <x:c r="B1186" s="21" t="str">
        <x:v>CHK0027137</x:v>
      </x:c>
      <x:c r="C1186" s="21" t="str">
        <x:v>CHECK PAYMENT - Berger, Stanley and Cooper - DP-2026-027137</x:v>
      </x:c>
      <x:c r="D1186" s="21" t="str">
        <x:v>Supplier payment</x:v>
      </x:c>
      <x:c r="E1186" s="18" t="n">
        <x:v>568.58</x:v>
      </x:c>
      <x:c r="F1186" s="18"/>
      <x:c r="G1186" s="18" t="n">
        <x:v>-568.58</x:v>
      </x:c>
      <x:c r="H1186" s="18" t="n">
        <x:f>H1185+G1186</x:f>
        <x:v>9359134.819999987</x:v>
      </x:c>
    </x:row>
    <x:row r="1187">
      <x:c r="A1187" s="20" t="n">
        <x:v>46185</x:v>
      </x:c>
      <x:c r="B1187" s="21" t="str">
        <x:v>CHK0027906</x:v>
      </x:c>
      <x:c r="C1187" s="21" t="str">
        <x:v>CHECK PAYMENT - Brooks, Johnson and Olson - DP-2026-027906</x:v>
      </x:c>
      <x:c r="D1187" s="21" t="str">
        <x:v>Supplier payment</x:v>
      </x:c>
      <x:c r="E1187" s="18" t="n">
        <x:v>297.03</x:v>
      </x:c>
      <x:c r="F1187" s="18"/>
      <x:c r="G1187" s="18" t="n">
        <x:v>-297.03</x:v>
      </x:c>
      <x:c r="H1187" s="18" t="n">
        <x:f>H1186+G1187</x:f>
        <x:v>9358837.789999988</x:v>
      </x:c>
    </x:row>
    <x:row r="1188">
      <x:c r="A1188" s="20" t="n">
        <x:v>46185</x:v>
      </x:c>
      <x:c r="B1188" s="21" t="str">
        <x:v>CHK0027933</x:v>
      </x:c>
      <x:c r="C1188" s="21" t="str">
        <x:v>CHECK PAYMENT - Boone-Benton - DP-2026-027933</x:v>
      </x:c>
      <x:c r="D1188" s="21" t="str">
        <x:v>Supplier payment</x:v>
      </x:c>
      <x:c r="E1188" s="18" t="n">
        <x:v>414.63</x:v>
      </x:c>
      <x:c r="F1188" s="18"/>
      <x:c r="G1188" s="18" t="n">
        <x:v>-414.63</x:v>
      </x:c>
      <x:c r="H1188" s="18" t="n">
        <x:f>H1187+G1188</x:f>
        <x:v>9358423.159999987</x:v>
      </x:c>
    </x:row>
    <x:row r="1189">
      <x:c r="A1189" s="20" t="n">
        <x:v>46185</x:v>
      </x:c>
      <x:c r="B1189" s="21" t="str">
        <x:v>CHK0027948</x:v>
      </x:c>
      <x:c r="C1189" s="21" t="str">
        <x:v>CHECK PAYMENT - Brooks, Johnson and Olson - DP-2026-027948</x:v>
      </x:c>
      <x:c r="D1189" s="21" t="str">
        <x:v>Supplier payment</x:v>
      </x:c>
      <x:c r="E1189" s="18" t="n">
        <x:v>288.74</x:v>
      </x:c>
      <x:c r="F1189" s="18"/>
      <x:c r="G1189" s="18" t="n">
        <x:v>-288.74</x:v>
      </x:c>
      <x:c r="H1189" s="18" t="n">
        <x:f>H1188+G1189</x:f>
        <x:v>9358134.419999987</x:v>
      </x:c>
    </x:row>
    <x:row r="1190">
      <x:c r="A1190" s="20" t="n">
        <x:v>46185</x:v>
      </x:c>
      <x:c r="B1190" s="21" t="str">
        <x:v>CHK0027988</x:v>
      </x:c>
      <x:c r="C1190" s="21" t="str">
        <x:v>CHECK PAYMENT - Martinez LLC - DP-2026-027988</x:v>
      </x:c>
      <x:c r="D1190" s="21" t="str">
        <x:v>Supplier payment</x:v>
      </x:c>
      <x:c r="E1190" s="18" t="n">
        <x:v>101.21</x:v>
      </x:c>
      <x:c r="F1190" s="18"/>
      <x:c r="G1190" s="18" t="n">
        <x:v>-101.21</x:v>
      </x:c>
      <x:c r="H1190" s="18" t="n">
        <x:f>H1189+G1190</x:f>
        <x:v>9358033.209999986</x:v>
      </x:c>
    </x:row>
    <x:row r="1191">
      <x:c r="A1191" s="20" t="n">
        <x:v>46185</x:v>
      </x:c>
      <x:c r="B1191" s="21" t="str">
        <x:v>CHK0028016</x:v>
      </x:c>
      <x:c r="C1191" s="21" t="str">
        <x:v>CHECK PAYMENT - Martinez LLC - DP-2026-028016</x:v>
      </x:c>
      <x:c r="D1191" s="21" t="str">
        <x:v>Supplier payment</x:v>
      </x:c>
      <x:c r="E1191" s="18" t="n">
        <x:v>735.51</x:v>
      </x:c>
      <x:c r="F1191" s="18"/>
      <x:c r="G1191" s="18" t="n">
        <x:v>-735.51</x:v>
      </x:c>
      <x:c r="H1191" s="18" t="n">
        <x:f>H1190+G1191</x:f>
        <x:v>9357297.699999986</x:v>
      </x:c>
    </x:row>
    <x:row r="1192">
      <x:c r="A1192" s="20" t="n">
        <x:v>46185</x:v>
      </x:c>
      <x:c r="B1192" s="21" t="str">
        <x:v>CHK0028033</x:v>
      </x:c>
      <x:c r="C1192" s="21" t="str">
        <x:v>CHECK PAYMENT - Brooks, Johnson and Olson - DP-2026-028033</x:v>
      </x:c>
      <x:c r="D1192" s="21" t="str">
        <x:v>Supplier payment</x:v>
      </x:c>
      <x:c r="E1192" s="18" t="n">
        <x:v>310.83</x:v>
      </x:c>
      <x:c r="F1192" s="18"/>
      <x:c r="G1192" s="18" t="n">
        <x:v>-310.83</x:v>
      </x:c>
      <x:c r="H1192" s="18" t="n">
        <x:f>H1191+G1192</x:f>
        <x:v>9356986.869999986</x:v>
      </x:c>
    </x:row>
    <x:row r="1193">
      <x:c r="A1193" s="20" t="n">
        <x:v>46185</x:v>
      </x:c>
      <x:c r="B1193" s="21" t="str">
        <x:v>CHK0028268</x:v>
      </x:c>
      <x:c r="C1193" s="21" t="str">
        <x:v>CHECK PAYMENT - Collins-Johnson - DP-2026-028268</x:v>
      </x:c>
      <x:c r="D1193" s="21" t="str">
        <x:v>Supplier payment</x:v>
      </x:c>
      <x:c r="E1193" s="18" t="n">
        <x:v>128.59</x:v>
      </x:c>
      <x:c r="F1193" s="18"/>
      <x:c r="G1193" s="18" t="n">
        <x:v>-128.59</x:v>
      </x:c>
      <x:c r="H1193" s="18" t="n">
        <x:f>H1192+G1193</x:f>
        <x:v>9356858.279999986</x:v>
      </x:c>
    </x:row>
    <x:row r="1194">
      <x:c r="A1194" s="20" t="n">
        <x:v>46185</x:v>
      </x:c>
      <x:c r="B1194" s="21" t="str">
        <x:v>DP-2026-025611</x:v>
      </x:c>
      <x:c r="C1194" s="21" t="str">
        <x:v>ACH PAYMENT - Marks, Mitchell and Hernandez - DP-2026-025611</x:v>
      </x:c>
      <x:c r="D1194" s="21" t="str">
        <x:v>Supplier payment</x:v>
      </x:c>
      <x:c r="E1194" s="18" t="n">
        <x:v>209.07</x:v>
      </x:c>
      <x:c r="F1194" s="18"/>
      <x:c r="G1194" s="18" t="n">
        <x:v>-209.07</x:v>
      </x:c>
      <x:c r="H1194" s="18" t="n">
        <x:f>H1193+G1194</x:f>
        <x:v>9356649.209999986</x:v>
      </x:c>
    </x:row>
    <x:row r="1195">
      <x:c r="A1195" s="20" t="n">
        <x:v>46185</x:v>
      </x:c>
      <x:c r="B1195" s="21" t="str">
        <x:v>DP-2026-027126</x:v>
      </x:c>
      <x:c r="C1195" s="21" t="str">
        <x:v>ACH PAYMENT - Turner PLC - DP-2026-027126</x:v>
      </x:c>
      <x:c r="D1195" s="21" t="str">
        <x:v>Supplier payment</x:v>
      </x:c>
      <x:c r="E1195" s="18" t="n">
        <x:v>417.71</x:v>
      </x:c>
      <x:c r="F1195" s="18"/>
      <x:c r="G1195" s="18" t="n">
        <x:v>-417.71</x:v>
      </x:c>
      <x:c r="H1195" s="18" t="n">
        <x:f>H1194+G1195</x:f>
        <x:v>9356231.499999985</x:v>
      </x:c>
    </x:row>
    <x:row r="1196">
      <x:c r="A1196" s="20" t="n">
        <x:v>46185</x:v>
      </x:c>
      <x:c r="B1196" s="21" t="str">
        <x:v>DP-2026-027878</x:v>
      </x:c>
      <x:c r="C1196" s="21" t="str">
        <x:v>ACH PAYMENT - Turner PLC - DP-2026-027878</x:v>
      </x:c>
      <x:c r="D1196" s="21" t="str">
        <x:v>Supplier payment</x:v>
      </x:c>
      <x:c r="E1196" s="18" t="n">
        <x:v>2527.45</x:v>
      </x:c>
      <x:c r="F1196" s="18"/>
      <x:c r="G1196" s="18" t="n">
        <x:v>-2527.45</x:v>
      </x:c>
      <x:c r="H1196" s="18" t="n">
        <x:f>H1195+G1196</x:f>
        <x:v>9353704.049999986</x:v>
      </x:c>
    </x:row>
    <x:row r="1197">
      <x:c r="A1197" s="20" t="n">
        <x:v>46185</x:v>
      </x:c>
      <x:c r="B1197" s="21" t="str">
        <x:v>DP-2026-027885</x:v>
      </x:c>
      <x:c r="C1197" s="21" t="str">
        <x:v>ACH PAYMENT - Collins-Johnson - DP-2026-027885</x:v>
      </x:c>
      <x:c r="D1197" s="21" t="str">
        <x:v>Supplier payment</x:v>
      </x:c>
      <x:c r="E1197" s="18" t="n">
        <x:v>369.66</x:v>
      </x:c>
      <x:c r="F1197" s="18"/>
      <x:c r="G1197" s="18" t="n">
        <x:v>-369.66</x:v>
      </x:c>
      <x:c r="H1197" s="18" t="n">
        <x:f>H1196+G1197</x:f>
        <x:v>9353334.389999986</x:v>
      </x:c>
    </x:row>
    <x:row r="1198">
      <x:c r="A1198" s="20" t="n">
        <x:v>46185</x:v>
      </x:c>
      <x:c r="B1198" s="21" t="str">
        <x:v>DP-2026-027896</x:v>
      </x:c>
      <x:c r="C1198" s="21" t="str">
        <x:v>ACH PAYMENT - Thomas, Gonzalez and Beltran - DP-2026-027896</x:v>
      </x:c>
      <x:c r="D1198" s="21" t="str">
        <x:v>Supplier payment</x:v>
      </x:c>
      <x:c r="E1198" s="18" t="n">
        <x:v>338.49</x:v>
      </x:c>
      <x:c r="F1198" s="18"/>
      <x:c r="G1198" s="18" t="n">
        <x:v>-338.49</x:v>
      </x:c>
      <x:c r="H1198" s="18" t="n">
        <x:f>H1197+G1198</x:f>
        <x:v>9352995.899999985</x:v>
      </x:c>
    </x:row>
    <x:row r="1199">
      <x:c r="A1199" s="20" t="n">
        <x:v>46185</x:v>
      </x:c>
      <x:c r="B1199" s="21" t="str">
        <x:v>DP-2026-027910</x:v>
      </x:c>
      <x:c r="C1199" s="21" t="str">
        <x:v>WIRE TRANSFER PAYMENT - Berger, Stanley and Cooper - DP-2026-027910</x:v>
      </x:c>
      <x:c r="D1199" s="21" t="str">
        <x:v>Supplier payment</x:v>
      </x:c>
      <x:c r="E1199" s="18" t="n">
        <x:v>473.77</x:v>
      </x:c>
      <x:c r="F1199" s="18"/>
      <x:c r="G1199" s="18" t="n">
        <x:v>-473.77</x:v>
      </x:c>
      <x:c r="H1199" s="18" t="n">
        <x:f>H1198+G1199</x:f>
        <x:v>9352522.129999986</x:v>
      </x:c>
    </x:row>
    <x:row r="1200">
      <x:c r="A1200" s="20" t="n">
        <x:v>46185</x:v>
      </x:c>
      <x:c r="B1200" s="21" t="str">
        <x:v>DP-2026-027916</x:v>
      </x:c>
      <x:c r="C1200" s="21" t="str">
        <x:v>ACH PAYMENT - Hoffman LLC - DP-2026-027916</x:v>
      </x:c>
      <x:c r="D1200" s="21" t="str">
        <x:v>Supplier payment</x:v>
      </x:c>
      <x:c r="E1200" s="18" t="n">
        <x:v>804.98</x:v>
      </x:c>
      <x:c r="F1200" s="18"/>
      <x:c r="G1200" s="18" t="n">
        <x:v>-804.98</x:v>
      </x:c>
      <x:c r="H1200" s="18" t="n">
        <x:f>H1199+G1200</x:f>
        <x:v>9351717.149999985</x:v>
      </x:c>
    </x:row>
    <x:row r="1201">
      <x:c r="A1201" s="20" t="n">
        <x:v>46185</x:v>
      </x:c>
      <x:c r="B1201" s="21" t="str">
        <x:v>DP-2026-028008</x:v>
      </x:c>
      <x:c r="C1201" s="21" t="str">
        <x:v>ACH PAYMENT - Gay, Clark and Hickman - DP-2026-028008</x:v>
      </x:c>
      <x:c r="D1201" s="21" t="str">
        <x:v>Supplier payment</x:v>
      </x:c>
      <x:c r="E1201" s="18" t="n">
        <x:v>133.37</x:v>
      </x:c>
      <x:c r="F1201" s="18"/>
      <x:c r="G1201" s="18" t="n">
        <x:v>-133.37</x:v>
      </x:c>
      <x:c r="H1201" s="18" t="n">
        <x:f>H1200+G1201</x:f>
        <x:v>9351583.779999986</x:v>
      </x:c>
    </x:row>
    <x:row r="1202">
      <x:c r="A1202" s="20" t="n">
        <x:v>46185</x:v>
      </x:c>
      <x:c r="B1202" s="21" t="str">
        <x:v>DP-2026-028013</x:v>
      </x:c>
      <x:c r="C1202" s="21" t="str">
        <x:v>ACH PAYMENT - Bell, Pruitt and David - DP-2026-028013</x:v>
      </x:c>
      <x:c r="D1202" s="21" t="str">
        <x:v>Supplier payment</x:v>
      </x:c>
      <x:c r="E1202" s="18" t="n">
        <x:v>976.55</x:v>
      </x:c>
      <x:c r="F1202" s="18"/>
      <x:c r="G1202" s="18" t="n">
        <x:v>-976.55</x:v>
      </x:c>
      <x:c r="H1202" s="18" t="n">
        <x:f>H1201+G1202</x:f>
        <x:v>9350607.229999986</x:v>
      </x:c>
    </x:row>
    <x:row r="1203">
      <x:c r="A1203" s="20" t="n">
        <x:v>46185</x:v>
      </x:c>
      <x:c r="B1203" s="21" t="str">
        <x:v>DP-2026-028017</x:v>
      </x:c>
      <x:c r="C1203" s="21" t="str">
        <x:v>WIRE TRANSFER PAYMENT - Brooks, Johnson and Olson - DP-2026-028017</x:v>
      </x:c>
      <x:c r="D1203" s="21" t="str">
        <x:v>Supplier payment</x:v>
      </x:c>
      <x:c r="E1203" s="18" t="n">
        <x:v>438.48</x:v>
      </x:c>
      <x:c r="F1203" s="18"/>
      <x:c r="G1203" s="18" t="n">
        <x:v>-438.48</x:v>
      </x:c>
      <x:c r="H1203" s="18" t="n">
        <x:f>H1202+G1203</x:f>
        <x:v>9350168.749999985</x:v>
      </x:c>
    </x:row>
    <x:row r="1204">
      <x:c r="A1204" s="20" t="n">
        <x:v>46185</x:v>
      </x:c>
      <x:c r="B1204" s="21" t="str">
        <x:v>DP-2026-028018</x:v>
      </x:c>
      <x:c r="C1204" s="21" t="str">
        <x:v>ACH PAYMENT - Turner PLC - DP-2026-028018</x:v>
      </x:c>
      <x:c r="D1204" s="21" t="str">
        <x:v>Supplier payment</x:v>
      </x:c>
      <x:c r="E1204" s="18" t="n">
        <x:v>424.78</x:v>
      </x:c>
      <x:c r="F1204" s="18"/>
      <x:c r="G1204" s="18" t="n">
        <x:v>-424.78</x:v>
      </x:c>
      <x:c r="H1204" s="18" t="n">
        <x:f>H1203+G1204</x:f>
        <x:v>9349743.969999986</x:v>
      </x:c>
    </x:row>
    <x:row r="1205">
      <x:c r="A1205" s="20" t="n">
        <x:v>46185</x:v>
      </x:c>
      <x:c r="B1205" s="21" t="str">
        <x:v>DP-2026-028023</x:v>
      </x:c>
      <x:c r="C1205" s="21" t="str">
        <x:v>ACH PAYMENT - Berger, Stanley and Cooper - DP-2026-028023</x:v>
      </x:c>
      <x:c r="D1205" s="21" t="str">
        <x:v>Supplier payment</x:v>
      </x:c>
      <x:c r="E1205" s="18" t="n">
        <x:v>2029.79</x:v>
      </x:c>
      <x:c r="F1205" s="18"/>
      <x:c r="G1205" s="18" t="n">
        <x:v>-2029.79</x:v>
      </x:c>
      <x:c r="H1205" s="18" t="n">
        <x:f>H1204+G1205</x:f>
        <x:v>9347714.179999987</x:v>
      </x:c>
    </x:row>
    <x:row r="1206">
      <x:c r="A1206" s="20" t="n">
        <x:v>46185</x:v>
      </x:c>
      <x:c r="B1206" s="21" t="str">
        <x:v>DP-2026-028053</x:v>
      </x:c>
      <x:c r="C1206" s="21" t="str">
        <x:v>WIRE TRANSFER PAYMENT - Rodriguez, Goodman and Lee - DP-2026-028053</x:v>
      </x:c>
      <x:c r="D1206" s="21" t="str">
        <x:v>Supplier payment</x:v>
      </x:c>
      <x:c r="E1206" s="18" t="n">
        <x:v>127.27</x:v>
      </x:c>
      <x:c r="F1206" s="18"/>
      <x:c r="G1206" s="18" t="n">
        <x:v>-127.27</x:v>
      </x:c>
      <x:c r="H1206" s="18" t="n">
        <x:f>H1205+G1206</x:f>
        <x:v>9347586.909999987</x:v>
      </x:c>
    </x:row>
    <x:row r="1207">
      <x:c r="A1207" s="20" t="n">
        <x:v>46185</x:v>
      </x:c>
      <x:c r="B1207" s="21" t="str">
        <x:v>DP-2026-028059</x:v>
      </x:c>
      <x:c r="C1207" s="21" t="str">
        <x:v>ACH PAYMENT - Hester Ltd - DP-2026-028059</x:v>
      </x:c>
      <x:c r="D1207" s="21" t="str">
        <x:v>Supplier payment</x:v>
      </x:c>
      <x:c r="E1207" s="18" t="n">
        <x:v>195.88</x:v>
      </x:c>
      <x:c r="F1207" s="18"/>
      <x:c r="G1207" s="18" t="n">
        <x:v>-195.88</x:v>
      </x:c>
      <x:c r="H1207" s="18" t="n">
        <x:f>H1206+G1207</x:f>
        <x:v>9347391.029999986</x:v>
      </x:c>
    </x:row>
    <x:row r="1208">
      <x:c r="A1208" s="20" t="n">
        <x:v>46185</x:v>
      </x:c>
      <x:c r="B1208" s="21" t="str">
        <x:v>DP-2026-028065</x:v>
      </x:c>
      <x:c r="C1208" s="21" t="str">
        <x:v>ACH PAYMENT - Brooks, Johnson and Olson - DP-2026-028065</x:v>
      </x:c>
      <x:c r="D1208" s="21" t="str">
        <x:v>Supplier payment</x:v>
      </x:c>
      <x:c r="E1208" s="18" t="n">
        <x:v>637.09</x:v>
      </x:c>
      <x:c r="F1208" s="18"/>
      <x:c r="G1208" s="18" t="n">
        <x:v>-637.09</x:v>
      </x:c>
      <x:c r="H1208" s="18" t="n">
        <x:f>H1207+G1208</x:f>
        <x:v>9346753.939999986</x:v>
      </x:c>
    </x:row>
    <x:row r="1209">
      <x:c r="A1209" s="20" t="n">
        <x:v>46185</x:v>
      </x:c>
      <x:c r="B1209" s="21" t="str">
        <x:v>DP-2026-028074</x:v>
      </x:c>
      <x:c r="C1209" s="21" t="str">
        <x:v>ACH PAYMENT - Lindsey and Sons - DP-2026-028074</x:v>
      </x:c>
      <x:c r="D1209" s="21" t="str">
        <x:v>Supplier payment</x:v>
      </x:c>
      <x:c r="E1209" s="18" t="n">
        <x:v>497.1</x:v>
      </x:c>
      <x:c r="F1209" s="18"/>
      <x:c r="G1209" s="18" t="n">
        <x:v>-497.1</x:v>
      </x:c>
      <x:c r="H1209" s="18" t="n">
        <x:f>H1208+G1209</x:f>
        <x:v>9346256.839999987</x:v>
      </x:c>
    </x:row>
    <x:row r="1210">
      <x:c r="A1210" s="20" t="n">
        <x:v>46185</x:v>
      </x:c>
      <x:c r="B1210" s="21" t="str">
        <x:v>DP-2026-028075</x:v>
      </x:c>
      <x:c r="C1210" s="21" t="str">
        <x:v>WIRE TRANSFER PAYMENT - Garcia Group - DP-2026-028075</x:v>
      </x:c>
      <x:c r="D1210" s="21" t="str">
        <x:v>Supplier payment</x:v>
      </x:c>
      <x:c r="E1210" s="18" t="n">
        <x:v>297.14</x:v>
      </x:c>
      <x:c r="F1210" s="18"/>
      <x:c r="G1210" s="18" t="n">
        <x:v>-297.14</x:v>
      </x:c>
      <x:c r="H1210" s="18" t="n">
        <x:f>H1209+G1210</x:f>
        <x:v>9345959.699999986</x:v>
      </x:c>
    </x:row>
    <x:row r="1211">
      <x:c r="A1211" s="20" t="n">
        <x:v>46185</x:v>
      </x:c>
      <x:c r="B1211" s="21" t="str">
        <x:v>DP-2026-028082</x:v>
      </x:c>
      <x:c r="C1211" s="21" t="str">
        <x:v>WIRE TRANSFER PAYMENT - Fuller LLC - DP-2026-028082</x:v>
      </x:c>
      <x:c r="D1211" s="21" t="str">
        <x:v>Supplier payment</x:v>
      </x:c>
      <x:c r="E1211" s="18" t="n">
        <x:v>2009.64</x:v>
      </x:c>
      <x:c r="F1211" s="18"/>
      <x:c r="G1211" s="18" t="n">
        <x:v>-2009.64</x:v>
      </x:c>
      <x:c r="H1211" s="18" t="n">
        <x:f>H1210+G1211</x:f>
        <x:v>9343950.059999986</x:v>
      </x:c>
    </x:row>
    <x:row r="1212">
      <x:c r="A1212" s="20" t="n">
        <x:v>46185</x:v>
      </x:c>
      <x:c r="B1212" s="21" t="str">
        <x:v>DP-2026-028123</x:v>
      </x:c>
      <x:c r="C1212" s="21" t="str">
        <x:v>WIRE TRANSFER PAYMENT - Brown-Owens - DP-2026-028123</x:v>
      </x:c>
      <x:c r="D1212" s="21" t="str">
        <x:v>Supplier payment</x:v>
      </x:c>
      <x:c r="E1212" s="18" t="n">
        <x:v>255.62</x:v>
      </x:c>
      <x:c r="F1212" s="18"/>
      <x:c r="G1212" s="18" t="n">
        <x:v>-255.62</x:v>
      </x:c>
      <x:c r="H1212" s="18" t="n">
        <x:f>H1211+G1212</x:f>
        <x:v>9343694.439999986</x:v>
      </x:c>
    </x:row>
    <x:row r="1213">
      <x:c r="A1213" s="20" t="n">
        <x:v>46185</x:v>
      </x:c>
      <x:c r="B1213" s="21" t="str">
        <x:v>DP-2026-028163</x:v>
      </x:c>
      <x:c r="C1213" s="21" t="str">
        <x:v>ACH PAYMENT - Hester Ltd - DP-2026-028163</x:v>
      </x:c>
      <x:c r="D1213" s="21" t="str">
        <x:v>Supplier payment</x:v>
      </x:c>
      <x:c r="E1213" s="18" t="n">
        <x:v>1080.83</x:v>
      </x:c>
      <x:c r="F1213" s="18"/>
      <x:c r="G1213" s="18" t="n">
        <x:v>-1080.83</x:v>
      </x:c>
      <x:c r="H1213" s="18" t="n">
        <x:f>H1212+G1213</x:f>
        <x:v>9342613.609999986</x:v>
      </x:c>
    </x:row>
    <x:row r="1214">
      <x:c r="A1214" s="20" t="n">
        <x:v>46185</x:v>
      </x:c>
      <x:c r="B1214" s="21" t="str">
        <x:v>DP-2026-028179</x:v>
      </x:c>
      <x:c r="C1214" s="21" t="str">
        <x:v>ACH PAYMENT - Brooks, Johnson and Olson - DP-2026-028179</x:v>
      </x:c>
      <x:c r="D1214" s="21" t="str">
        <x:v>Supplier payment</x:v>
      </x:c>
      <x:c r="E1214" s="18" t="n">
        <x:v>1316.38</x:v>
      </x:c>
      <x:c r="F1214" s="18"/>
      <x:c r="G1214" s="18" t="n">
        <x:v>-1316.38</x:v>
      </x:c>
      <x:c r="H1214" s="18" t="n">
        <x:f>H1213+G1214</x:f>
        <x:v>9341297.229999986</x:v>
      </x:c>
    </x:row>
    <x:row r="1215">
      <x:c r="A1215" s="20" t="n">
        <x:v>46185</x:v>
      </x:c>
      <x:c r="B1215" s="21" t="str">
        <x:v>DP-2026-028190</x:v>
      </x:c>
      <x:c r="C1215" s="21" t="str">
        <x:v>ACH PAYMENT - Villarreal, Mcdonald and Scott - DP-2026-028190</x:v>
      </x:c>
      <x:c r="D1215" s="21" t="str">
        <x:v>Supplier payment</x:v>
      </x:c>
      <x:c r="E1215" s="18" t="n">
        <x:v>168.91</x:v>
      </x:c>
      <x:c r="F1215" s="18"/>
      <x:c r="G1215" s="18" t="n">
        <x:v>-168.91</x:v>
      </x:c>
      <x:c r="H1215" s="18" t="n">
        <x:f>H1214+G1215</x:f>
        <x:v>9341128.319999985</x:v>
      </x:c>
    </x:row>
    <x:row r="1216">
      <x:c r="A1216" s="20" t="n">
        <x:v>46185</x:v>
      </x:c>
      <x:c r="B1216" s="21" t="str">
        <x:v>DP-2026-028234</x:v>
      </x:c>
      <x:c r="C1216" s="21" t="str">
        <x:v>WIRE TRANSFER PAYMENT - Coleman-Moore - DP-2026-028234</x:v>
      </x:c>
      <x:c r="D1216" s="21" t="str">
        <x:v>Supplier payment</x:v>
      </x:c>
      <x:c r="E1216" s="18" t="n">
        <x:v>1031.31</x:v>
      </x:c>
      <x:c r="F1216" s="18"/>
      <x:c r="G1216" s="18" t="n">
        <x:v>-1031.31</x:v>
      </x:c>
      <x:c r="H1216" s="18" t="n">
        <x:f>H1215+G1216</x:f>
        <x:v>9340097.009999985</x:v>
      </x:c>
    </x:row>
    <x:row r="1217">
      <x:c r="A1217" s="20" t="n">
        <x:v>46185</x:v>
      </x:c>
      <x:c r="B1217" s="21" t="str">
        <x:v>DP-2026-028244</x:v>
      </x:c>
      <x:c r="C1217" s="21" t="str">
        <x:v>ACH PAYMENT - Hansen-Kaufman - DP-2026-028244</x:v>
      </x:c>
      <x:c r="D1217" s="21" t="str">
        <x:v>Supplier payment</x:v>
      </x:c>
      <x:c r="E1217" s="18" t="n">
        <x:v>1819.75</x:v>
      </x:c>
      <x:c r="F1217" s="18"/>
      <x:c r="G1217" s="18" t="n">
        <x:v>-1819.75</x:v>
      </x:c>
      <x:c r="H1217" s="18" t="n">
        <x:f>H1216+G1217</x:f>
        <x:v>9338277.259999985</x:v>
      </x:c>
    </x:row>
    <x:row r="1218">
      <x:c r="A1218" s="20" t="n">
        <x:v>46185</x:v>
      </x:c>
      <x:c r="B1218" s="21" t="str">
        <x:v>DP-2026-028255</x:v>
      </x:c>
      <x:c r="C1218" s="21" t="str">
        <x:v>ACH PAYMENT - Berger, Stanley and Cooper - DP-2026-028255</x:v>
      </x:c>
      <x:c r="D1218" s="21" t="str">
        <x:v>Supplier payment</x:v>
      </x:c>
      <x:c r="E1218" s="18" t="n">
        <x:v>377.95</x:v>
      </x:c>
      <x:c r="F1218" s="18"/>
      <x:c r="G1218" s="18" t="n">
        <x:v>-377.95</x:v>
      </x:c>
      <x:c r="H1218" s="18" t="n">
        <x:f>H1217+G1218</x:f>
        <x:v>9337899.309999986</x:v>
      </x:c>
    </x:row>
    <x:row r="1219">
      <x:c r="A1219" s="20" t="n">
        <x:v>46185</x:v>
      </x:c>
      <x:c r="B1219" s="21" t="str">
        <x:v>RF00000177</x:v>
      </x:c>
      <x:c r="C1219" s="21" t="str">
        <x:v>CUSTOMER REFUND - RF-2026-000177</x:v>
      </x:c>
      <x:c r="D1219" s="21" t="str">
        <x:v>Customer refund</x:v>
      </x:c>
      <x:c r="E1219" s="18" t="n">
        <x:v>390.02</x:v>
      </x:c>
      <x:c r="F1219" s="18"/>
      <x:c r="G1219" s="18" t="n">
        <x:v>-390.02</x:v>
      </x:c>
      <x:c r="H1219" s="18" t="n">
        <x:f>H1218+G1219</x:f>
        <x:v>9337509.289999986</x:v>
      </x:c>
    </x:row>
    <x:row r="1220">
      <x:c r="A1220" s="20" t="n">
        <x:v>46185</x:v>
      </x:c>
      <x:c r="B1220" s="21" t="str">
        <x:v>SCP00000155</x:v>
      </x:c>
      <x:c r="C1220" s="21" t="str">
        <x:v>SALES COMMISSION - SCPAY-2026-000155</x:v>
      </x:c>
      <x:c r="D1220" s="21" t="str">
        <x:v>Commission</x:v>
      </x:c>
      <x:c r="E1220" s="18" t="n">
        <x:v>8505.64</x:v>
      </x:c>
      <x:c r="F1220" s="18"/>
      <x:c r="G1220" s="18" t="n">
        <x:v>-8505.64</x:v>
      </x:c>
      <x:c r="H1220" s="18" t="n">
        <x:f>H1219+G1220</x:f>
        <x:v>9329003.649999985</x:v>
      </x:c>
    </x:row>
    <x:row r="1221">
      <x:c r="A1221" s="20" t="n">
        <x:v>46185</x:v>
      </x:c>
      <x:c r="B1221" s="21" t="str">
        <x:v>SCP00000159</x:v>
      </x:c>
      <x:c r="C1221" s="21" t="str">
        <x:v>SALES COMMISSION - SCPAY-2026-000159</x:v>
      </x:c>
      <x:c r="D1221" s="21" t="str">
        <x:v>Commission</x:v>
      </x:c>
      <x:c r="E1221" s="18" t="n">
        <x:v>6933.61</x:v>
      </x:c>
      <x:c r="F1221" s="18"/>
      <x:c r="G1221" s="18" t="n">
        <x:v>-6933.61</x:v>
      </x:c>
      <x:c r="H1221" s="18" t="n">
        <x:f>H1220+G1221</x:f>
        <x:v>9322070.039999986</x:v>
      </x:c>
    </x:row>
    <x:row r="1222">
      <x:c r="A1222" s="20" t="n">
        <x:v>46186</x:v>
      </x:c>
      <x:c r="B1222" s="21" t="str">
        <x:v>AR00005923</x:v>
      </x:c>
      <x:c r="C1222" s="21" t="str">
        <x:v>CUSTOMER DEPOSIT - Walters PLC - CR-2026-005923</x:v>
      </x:c>
      <x:c r="D1222" s="21" t="str">
        <x:v>Customer deposit</x:v>
      </x:c>
      <x:c r="E1222" s="18"/>
      <x:c r="F1222" s="18" t="n">
        <x:v>22429.03</x:v>
      </x:c>
      <x:c r="G1222" s="18" t="n">
        <x:v>22429.03</x:v>
      </x:c>
      <x:c r="H1222" s="18" t="n">
        <x:f>H1221+G1222</x:f>
        <x:v>9344499.069999985</x:v>
      </x:c>
    </x:row>
    <x:row r="1223">
      <x:c r="A1223" s="20" t="n">
        <x:v>46186</x:v>
      </x:c>
      <x:c r="B1223" s="21" t="str">
        <x:v>AR00005939</x:v>
      </x:c>
      <x:c r="C1223" s="21" t="str">
        <x:v>CUSTOMER DEPOSIT - Robinson, Freeman and Cunningham - CR-2026-005939</x:v>
      </x:c>
      <x:c r="D1223" s="21" t="str">
        <x:v>Customer deposit</x:v>
      </x:c>
      <x:c r="E1223" s="18"/>
      <x:c r="F1223" s="18" t="n">
        <x:v>5564.15</x:v>
      </x:c>
      <x:c r="G1223" s="18" t="n">
        <x:v>5564.15</x:v>
      </x:c>
      <x:c r="H1223" s="18" t="n">
        <x:f>H1222+G1223</x:f>
        <x:v>9350063.219999986</x:v>
      </x:c>
    </x:row>
    <x:row r="1224">
      <x:c r="A1224" s="20" t="n">
        <x:v>46186</x:v>
      </x:c>
      <x:c r="B1224" s="21" t="str">
        <x:v>AR00005962</x:v>
      </x:c>
      <x:c r="C1224" s="21" t="str">
        <x:v>CUSTOMER DEPOSIT - Harper-Kelly - CR-2026-005962</x:v>
      </x:c>
      <x:c r="D1224" s="21" t="str">
        <x:v>Customer deposit</x:v>
      </x:c>
      <x:c r="E1224" s="18"/>
      <x:c r="F1224" s="18" t="n">
        <x:v>3371.44</x:v>
      </x:c>
      <x:c r="G1224" s="18" t="n">
        <x:v>3371.44</x:v>
      </x:c>
      <x:c r="H1224" s="18" t="n">
        <x:f>H1223+G1224</x:f>
        <x:v>9353434.659999985</x:v>
      </x:c>
    </x:row>
    <x:row r="1225">
      <x:c r="A1225" s="20" t="n">
        <x:v>46186</x:v>
      </x:c>
      <x:c r="B1225" s="21" t="str">
        <x:v>AR00005967</x:v>
      </x:c>
      <x:c r="C1225" s="21" t="str">
        <x:v>CUSTOMER DEPOSIT - Gutierrez, Bell and Sanders - CR-2026-005967</x:v>
      </x:c>
      <x:c r="D1225" s="21" t="str">
        <x:v>Customer deposit</x:v>
      </x:c>
      <x:c r="E1225" s="18"/>
      <x:c r="F1225" s="18" t="n">
        <x:v>2495.34</x:v>
      </x:c>
      <x:c r="G1225" s="18" t="n">
        <x:v>2495.34</x:v>
      </x:c>
      <x:c r="H1225" s="18" t="n">
        <x:f>H1224+G1225</x:f>
        <x:v>9355929.999999985</x:v>
      </x:c>
    </x:row>
    <x:row r="1226">
      <x:c r="A1226" s="20" t="n">
        <x:v>46186</x:v>
      </x:c>
      <x:c r="B1226" s="21" t="str">
        <x:v>AR00005977</x:v>
      </x:c>
      <x:c r="C1226" s="21" t="str">
        <x:v>CUSTOMER DEPOSIT - Green LLC - CR-2026-005977</x:v>
      </x:c>
      <x:c r="D1226" s="21" t="str">
        <x:v>Customer deposit</x:v>
      </x:c>
      <x:c r="E1226" s="18"/>
      <x:c r="F1226" s="18" t="n">
        <x:v>5383.43</x:v>
      </x:c>
      <x:c r="G1226" s="18" t="n">
        <x:v>5383.43</x:v>
      </x:c>
      <x:c r="H1226" s="18" t="n">
        <x:f>H1225+G1226</x:f>
        <x:v>9361313.429999985</x:v>
      </x:c>
    </x:row>
    <x:row r="1227">
      <x:c r="A1227" s="20" t="n">
        <x:v>46186</x:v>
      </x:c>
      <x:c r="B1227" s="21" t="str">
        <x:v>AR00005982</x:v>
      </x:c>
      <x:c r="C1227" s="21" t="str">
        <x:v>CUSTOMER DEPOSIT - Davis-Young - CR-2026-005982</x:v>
      </x:c>
      <x:c r="D1227" s="21" t="str">
        <x:v>Customer deposit</x:v>
      </x:c>
      <x:c r="E1227" s="18"/>
      <x:c r="F1227" s="18" t="n">
        <x:v>5945.9</x:v>
      </x:c>
      <x:c r="G1227" s="18" t="n">
        <x:v>5945.9</x:v>
      </x:c>
      <x:c r="H1227" s="18" t="n">
        <x:f>H1226+G1227</x:f>
        <x:v>9367259.329999985</x:v>
      </x:c>
    </x:row>
    <x:row r="1228">
      <x:c r="A1228" s="20" t="n">
        <x:v>46186</x:v>
      </x:c>
      <x:c r="B1228" s="21" t="str">
        <x:v>AR00005987</x:v>
      </x:c>
      <x:c r="C1228" s="21" t="str">
        <x:v>CUSTOMER DEPOSIT - Roth, Barton and Leach - CR-2026-005987</x:v>
      </x:c>
      <x:c r="D1228" s="21" t="str">
        <x:v>Customer deposit</x:v>
      </x:c>
      <x:c r="E1228" s="18"/>
      <x:c r="F1228" s="18" t="n">
        <x:v>2205.3</x:v>
      </x:c>
      <x:c r="G1228" s="18" t="n">
        <x:v>2205.3</x:v>
      </x:c>
      <x:c r="H1228" s="18" t="n">
        <x:f>H1227+G1228</x:f>
        <x:v>9369464.629999986</x:v>
      </x:c>
    </x:row>
    <x:row r="1229">
      <x:c r="A1229" s="20" t="n">
        <x:v>46186</x:v>
      </x:c>
      <x:c r="B1229" s="21" t="str">
        <x:v>AR00005992</x:v>
      </x:c>
      <x:c r="C1229" s="21" t="str">
        <x:v>CUSTOMER DEPOSIT - Dougherty PLC - CR-2026-005992</x:v>
      </x:c>
      <x:c r="D1229" s="21" t="str">
        <x:v>Customer deposit</x:v>
      </x:c>
      <x:c r="E1229" s="18"/>
      <x:c r="F1229" s="18" t="n">
        <x:v>7875.3</x:v>
      </x:c>
      <x:c r="G1229" s="18" t="n">
        <x:v>7875.3</x:v>
      </x:c>
      <x:c r="H1229" s="18" t="n">
        <x:f>H1228+G1229</x:f>
        <x:v>9377339.929999987</x:v>
      </x:c>
    </x:row>
    <x:row r="1230">
      <x:c r="A1230" s="20" t="n">
        <x:v>46186</x:v>
      </x:c>
      <x:c r="B1230" s="21" t="str">
        <x:v>AR00006018</x:v>
      </x:c>
      <x:c r="C1230" s="21" t="str">
        <x:v>CUSTOMER DEPOSIT - Olson, Mcgrath and Duffy - CR-2026-006018</x:v>
      </x:c>
      <x:c r="D1230" s="21" t="str">
        <x:v>Customer deposit</x:v>
      </x:c>
      <x:c r="E1230" s="18"/>
      <x:c r="F1230" s="18" t="n">
        <x:v>7046.5</x:v>
      </x:c>
      <x:c r="G1230" s="18" t="n">
        <x:v>7046.5</x:v>
      </x:c>
      <x:c r="H1230" s="18" t="n">
        <x:f>H1229+G1230</x:f>
        <x:v>9384386.429999987</x:v>
      </x:c>
    </x:row>
    <x:row r="1231">
      <x:c r="A1231" s="20" t="n">
        <x:v>46186</x:v>
      </x:c>
      <x:c r="B1231" s="21" t="str">
        <x:v>AR00006025</x:v>
      </x:c>
      <x:c r="C1231" s="21" t="str">
        <x:v>CUSTOMER DEPOSIT - Richardson, Porter and Chavez - CR-2026-006025</x:v>
      </x:c>
      <x:c r="D1231" s="21" t="str">
        <x:v>Customer deposit</x:v>
      </x:c>
      <x:c r="E1231" s="18"/>
      <x:c r="F1231" s="18" t="n">
        <x:v>52293.28</x:v>
      </x:c>
      <x:c r="G1231" s="18" t="n">
        <x:v>52293.28</x:v>
      </x:c>
      <x:c r="H1231" s="18" t="n">
        <x:f>H1230+G1231</x:f>
        <x:v>9436679.709999986</x:v>
      </x:c>
    </x:row>
    <x:row r="1232">
      <x:c r="A1232" s="20" t="n">
        <x:v>46186</x:v>
      </x:c>
      <x:c r="B1232" s="21" t="str">
        <x:v>AR00006026</x:v>
      </x:c>
      <x:c r="C1232" s="21" t="str">
        <x:v>CUSTOMER DEPOSIT - Johnson-King - CR-2026-006026</x:v>
      </x:c>
      <x:c r="D1232" s="21" t="str">
        <x:v>Customer deposit</x:v>
      </x:c>
      <x:c r="E1232" s="18"/>
      <x:c r="F1232" s="18" t="n">
        <x:v>5262.14</x:v>
      </x:c>
      <x:c r="G1232" s="18" t="n">
        <x:v>5262.14</x:v>
      </x:c>
      <x:c r="H1232" s="18" t="n">
        <x:f>H1231+G1232</x:f>
        <x:v>9441941.849999987</x:v>
      </x:c>
    </x:row>
    <x:row r="1233">
      <x:c r="A1233" s="20" t="n">
        <x:v>46186</x:v>
      </x:c>
      <x:c r="B1233" s="21" t="str">
        <x:v>AR00006027</x:v>
      </x:c>
      <x:c r="C1233" s="21" t="str">
        <x:v>CUSTOMER DEPOSIT - Anderson-Acevedo - CR-2026-006027</x:v>
      </x:c>
      <x:c r="D1233" s="21" t="str">
        <x:v>Customer deposit</x:v>
      </x:c>
      <x:c r="E1233" s="18"/>
      <x:c r="F1233" s="18" t="n">
        <x:v>5593.95</x:v>
      </x:c>
      <x:c r="G1233" s="18" t="n">
        <x:v>5593.95</x:v>
      </x:c>
      <x:c r="H1233" s="18" t="n">
        <x:f>H1232+G1233</x:f>
        <x:v>9447535.799999986</x:v>
      </x:c>
    </x:row>
    <x:row r="1234">
      <x:c r="A1234" s="20" t="n">
        <x:v>46186</x:v>
      </x:c>
      <x:c r="B1234" s="21" t="str">
        <x:v>AR00006036</x:v>
      </x:c>
      <x:c r="C1234" s="21" t="str">
        <x:v>CUSTOMER DEPOSIT - Combs-Valdez - CR-2026-006036</x:v>
      </x:c>
      <x:c r="D1234" s="21" t="str">
        <x:v>Customer deposit</x:v>
      </x:c>
      <x:c r="E1234" s="18"/>
      <x:c r="F1234" s="18" t="n">
        <x:v>13014.15</x:v>
      </x:c>
      <x:c r="G1234" s="18" t="n">
        <x:v>13014.15</x:v>
      </x:c>
      <x:c r="H1234" s="18" t="n">
        <x:f>H1233+G1234</x:f>
        <x:v>9460549.949999986</x:v>
      </x:c>
    </x:row>
    <x:row r="1235">
      <x:c r="A1235" s="20" t="n">
        <x:v>46186</x:v>
      </x:c>
      <x:c r="B1235" s="21" t="str">
        <x:v>AR00006038</x:v>
      </x:c>
      <x:c r="C1235" s="21" t="str">
        <x:v>CUSTOMER DEPOSIT - Hubbard Inc - CR-2026-006038</x:v>
      </x:c>
      <x:c r="D1235" s="21" t="str">
        <x:v>Customer deposit</x:v>
      </x:c>
      <x:c r="E1235" s="18"/>
      <x:c r="F1235" s="18" t="n">
        <x:v>3662.2</x:v>
      </x:c>
      <x:c r="G1235" s="18" t="n">
        <x:v>3662.2</x:v>
      </x:c>
      <x:c r="H1235" s="18" t="n">
        <x:f>H1234+G1235</x:f>
        <x:v>9464212.149999985</x:v>
      </x:c>
    </x:row>
    <x:row r="1236">
      <x:c r="A1236" s="20" t="n">
        <x:v>46186</x:v>
      </x:c>
      <x:c r="B1236" s="21" t="str">
        <x:v>AR00006040</x:v>
      </x:c>
      <x:c r="C1236" s="21" t="str">
        <x:v>CUSTOMER DEPOSIT - Moore-Johnson - CR-2026-006040</x:v>
      </x:c>
      <x:c r="D1236" s="21" t="str">
        <x:v>Customer deposit</x:v>
      </x:c>
      <x:c r="E1236" s="18"/>
      <x:c r="F1236" s="18" t="n">
        <x:v>207.18</x:v>
      </x:c>
      <x:c r="G1236" s="18" t="n">
        <x:v>207.18</x:v>
      </x:c>
      <x:c r="H1236" s="18" t="n">
        <x:f>H1235+G1236</x:f>
        <x:v>9464419.329999985</x:v>
      </x:c>
    </x:row>
    <x:row r="1237">
      <x:c r="A1237" s="20" t="n">
        <x:v>46186</x:v>
      </x:c>
      <x:c r="B1237" s="21" t="str">
        <x:v>AR00006047</x:v>
      </x:c>
      <x:c r="C1237" s="21" t="str">
        <x:v>CUSTOMER DEPOSIT - Patel, Nash and Hoffman - CR-2026-006047</x:v>
      </x:c>
      <x:c r="D1237" s="21" t="str">
        <x:v>Customer deposit</x:v>
      </x:c>
      <x:c r="E1237" s="18"/>
      <x:c r="F1237" s="18" t="n">
        <x:v>29878.62</x:v>
      </x:c>
      <x:c r="G1237" s="18" t="n">
        <x:v>29878.62</x:v>
      </x:c>
      <x:c r="H1237" s="18" t="n">
        <x:f>H1236+G1237</x:f>
        <x:v>9494297.949999984</x:v>
      </x:c>
    </x:row>
    <x:row r="1238">
      <x:c r="A1238" s="20" t="n">
        <x:v>46186</x:v>
      </x:c>
      <x:c r="B1238" s="21" t="str">
        <x:v>AR00006059</x:v>
      </x:c>
      <x:c r="C1238" s="21" t="str">
        <x:v>CUSTOMER DEPOSIT - Thompson, Rosario and Castillo - CR-2026-006059</x:v>
      </x:c>
      <x:c r="D1238" s="21" t="str">
        <x:v>Customer deposit</x:v>
      </x:c>
      <x:c r="E1238" s="18"/>
      <x:c r="F1238" s="18" t="n">
        <x:v>5998.75</x:v>
      </x:c>
      <x:c r="G1238" s="18" t="n">
        <x:v>5998.75</x:v>
      </x:c>
      <x:c r="H1238" s="18" t="n">
        <x:f>H1237+G1238</x:f>
        <x:v>9500296.699999984</x:v>
      </x:c>
    </x:row>
    <x:row r="1239">
      <x:c r="A1239" s="20" t="n">
        <x:v>46186</x:v>
      </x:c>
      <x:c r="B1239" s="21" t="str">
        <x:v>AR00006083</x:v>
      </x:c>
      <x:c r="C1239" s="21" t="str">
        <x:v>CUSTOMER DEPOSIT - Ross-Hampton - CR-2026-006083</x:v>
      </x:c>
      <x:c r="D1239" s="21" t="str">
        <x:v>Customer deposit</x:v>
      </x:c>
      <x:c r="E1239" s="18"/>
      <x:c r="F1239" s="18" t="n">
        <x:v>328.11</x:v>
      </x:c>
      <x:c r="G1239" s="18" t="n">
        <x:v>328.11</x:v>
      </x:c>
      <x:c r="H1239" s="18" t="n">
        <x:f>H1238+G1239</x:f>
        <x:v>9500624.809999984</x:v>
      </x:c>
    </x:row>
    <x:row r="1240">
      <x:c r="A1240" s="20" t="n">
        <x:v>46186</x:v>
      </x:c>
      <x:c r="B1240" s="21" t="str">
        <x:v>AR00006090</x:v>
      </x:c>
      <x:c r="C1240" s="21" t="str">
        <x:v>CUSTOMER DEPOSIT - Torres, Hoover and Ortiz - CR-2026-006090</x:v>
      </x:c>
      <x:c r="D1240" s="21" t="str">
        <x:v>Customer deposit</x:v>
      </x:c>
      <x:c r="E1240" s="18"/>
      <x:c r="F1240" s="18" t="n">
        <x:v>2442.57</x:v>
      </x:c>
      <x:c r="G1240" s="18" t="n">
        <x:v>2442.57</x:v>
      </x:c>
      <x:c r="H1240" s="18" t="n">
        <x:f>H1239+G1240</x:f>
        <x:v>9503067.379999984</x:v>
      </x:c>
    </x:row>
    <x:row r="1241">
      <x:c r="A1241" s="20" t="n">
        <x:v>46186</x:v>
      </x:c>
      <x:c r="B1241" s="21" t="str">
        <x:v>AR00006092</x:v>
      </x:c>
      <x:c r="C1241" s="21" t="str">
        <x:v>CUSTOMER DEPOSIT - Brown LLC - CR-2026-006092</x:v>
      </x:c>
      <x:c r="D1241" s="21" t="str">
        <x:v>Customer deposit</x:v>
      </x:c>
      <x:c r="E1241" s="18"/>
      <x:c r="F1241" s="18" t="n">
        <x:v>55808.94</x:v>
      </x:c>
      <x:c r="G1241" s="18" t="n">
        <x:v>55808.94</x:v>
      </x:c>
      <x:c r="H1241" s="18" t="n">
        <x:f>H1240+G1241</x:f>
        <x:v>9558876.319999984</x:v>
      </x:c>
    </x:row>
    <x:row r="1242">
      <x:c r="A1242" s="20" t="n">
        <x:v>46186</x:v>
      </x:c>
      <x:c r="B1242" s="21" t="str">
        <x:v>AR00006093</x:v>
      </x:c>
      <x:c r="C1242" s="21" t="str">
        <x:v>CUSTOMER DEPOSIT - Werner, Davis and Anderson - CR-2026-006093</x:v>
      </x:c>
      <x:c r="D1242" s="21" t="str">
        <x:v>Customer deposit</x:v>
      </x:c>
      <x:c r="E1242" s="18"/>
      <x:c r="F1242" s="18" t="n">
        <x:v>13853.74</x:v>
      </x:c>
      <x:c r="G1242" s="18" t="n">
        <x:v>13853.74</x:v>
      </x:c>
      <x:c r="H1242" s="18" t="n">
        <x:f>H1241+G1242</x:f>
        <x:v>9572730.059999984</x:v>
      </x:c>
    </x:row>
    <x:row r="1243">
      <x:c r="A1243" s="20" t="n">
        <x:v>46186</x:v>
      </x:c>
      <x:c r="B1243" s="21" t="str">
        <x:v>AR00006100</x:v>
      </x:c>
      <x:c r="C1243" s="21" t="str">
        <x:v>CUSTOMER DEPOSIT - Anderson Group - CR-2026-006100</x:v>
      </x:c>
      <x:c r="D1243" s="21" t="str">
        <x:v>Customer deposit</x:v>
      </x:c>
      <x:c r="E1243" s="18"/>
      <x:c r="F1243" s="18" t="n">
        <x:v>12167.1</x:v>
      </x:c>
      <x:c r="G1243" s="18" t="n">
        <x:v>12167.1</x:v>
      </x:c>
      <x:c r="H1243" s="18" t="n">
        <x:f>H1242+G1243</x:f>
        <x:v>9584897.159999983</x:v>
      </x:c>
    </x:row>
    <x:row r="1244">
      <x:c r="A1244" s="20" t="n">
        <x:v>46186</x:v>
      </x:c>
      <x:c r="B1244" s="21" t="str">
        <x:v>AR00006102</x:v>
      </x:c>
      <x:c r="C1244" s="21" t="str">
        <x:v>CUSTOMER DEPOSIT - Reynolds, Brennan and King - CR-2026-006102</x:v>
      </x:c>
      <x:c r="D1244" s="21" t="str">
        <x:v>Customer deposit</x:v>
      </x:c>
      <x:c r="E1244" s="18"/>
      <x:c r="F1244" s="18" t="n">
        <x:v>12460.82</x:v>
      </x:c>
      <x:c r="G1244" s="18" t="n">
        <x:v>12460.82</x:v>
      </x:c>
      <x:c r="H1244" s="18" t="n">
        <x:f>H1243+G1244</x:f>
        <x:v>9597357.979999984</x:v>
      </x:c>
    </x:row>
    <x:row r="1245">
      <x:c r="A1245" s="20" t="n">
        <x:v>46186</x:v>
      </x:c>
      <x:c r="B1245" s="21" t="str">
        <x:v>AR00006111</x:v>
      </x:c>
      <x:c r="C1245" s="21" t="str">
        <x:v>CUSTOMER DEPOSIT - Andrews, Zavala and Pearson - CR-2026-006111</x:v>
      </x:c>
      <x:c r="D1245" s="21" t="str">
        <x:v>Customer deposit</x:v>
      </x:c>
      <x:c r="E1245" s="18"/>
      <x:c r="F1245" s="18" t="n">
        <x:v>26988.78</x:v>
      </x:c>
      <x:c r="G1245" s="18" t="n">
        <x:v>26988.78</x:v>
      </x:c>
      <x:c r="H1245" s="18" t="n">
        <x:f>H1244+G1245</x:f>
        <x:v>9624346.759999983</x:v>
      </x:c>
    </x:row>
    <x:row r="1246">
      <x:c r="A1246" s="20" t="n">
        <x:v>46186</x:v>
      </x:c>
      <x:c r="B1246" s="21" t="str">
        <x:v>CHK0027133</x:v>
      </x:c>
      <x:c r="C1246" s="21" t="str">
        <x:v>CHECK PAYMENT - Lindsey and Sons - DP-2026-027133</x:v>
      </x:c>
      <x:c r="D1246" s="21" t="str">
        <x:v>Supplier payment</x:v>
      </x:c>
      <x:c r="E1246" s="18" t="n">
        <x:v>93.49</x:v>
      </x:c>
      <x:c r="F1246" s="18"/>
      <x:c r="G1246" s="18" t="n">
        <x:v>-93.49</x:v>
      </x:c>
      <x:c r="H1246" s="18" t="n">
        <x:f>H1245+G1246</x:f>
        <x:v>9624253.269999983</x:v>
      </x:c>
    </x:row>
    <x:row r="1247">
      <x:c r="A1247" s="20" t="n">
        <x:v>46186</x:v>
      </x:c>
      <x:c r="B1247" s="21" t="str">
        <x:v>CHK0027134</x:v>
      </x:c>
      <x:c r="C1247" s="21" t="str">
        <x:v>CHECK PAYMENT - Powers-Daniels - DP-2026-027134</x:v>
      </x:c>
      <x:c r="D1247" s="21" t="str">
        <x:v>Supplier payment</x:v>
      </x:c>
      <x:c r="E1247" s="18" t="n">
        <x:v>593.18</x:v>
      </x:c>
      <x:c r="F1247" s="18"/>
      <x:c r="G1247" s="18" t="n">
        <x:v>-593.18</x:v>
      </x:c>
      <x:c r="H1247" s="18" t="n">
        <x:f>H1246+G1247</x:f>
        <x:v>9623660.089999983</x:v>
      </x:c>
    </x:row>
    <x:row r="1248">
      <x:c r="A1248" s="20" t="n">
        <x:v>46186</x:v>
      </x:c>
      <x:c r="B1248" s="21" t="str">
        <x:v>CHK0027135</x:v>
      </x:c>
      <x:c r="C1248" s="21" t="str">
        <x:v>CHECK PAYMENT - Bell, Pruitt and David - DP-2026-027135</x:v>
      </x:c>
      <x:c r="D1248" s="21" t="str">
        <x:v>Supplier payment</x:v>
      </x:c>
      <x:c r="E1248" s="18" t="n">
        <x:v>17007.87</x:v>
      </x:c>
      <x:c r="F1248" s="18"/>
      <x:c r="G1248" s="18" t="n">
        <x:v>-17007.87</x:v>
      </x:c>
      <x:c r="H1248" s="18" t="n">
        <x:f>H1247+G1248</x:f>
        <x:v>9606652.219999984</x:v>
      </x:c>
    </x:row>
    <x:row r="1249">
      <x:c r="A1249" s="20" t="n">
        <x:v>46186</x:v>
      </x:c>
      <x:c r="B1249" s="21" t="str">
        <x:v>CHK0027897</x:v>
      </x:c>
      <x:c r="C1249" s="21" t="str">
        <x:v>CHECK PAYMENT - Perez, Schultz and Ward - DP-2026-027897</x:v>
      </x:c>
      <x:c r="D1249" s="21" t="str">
        <x:v>Supplier payment</x:v>
      </x:c>
      <x:c r="E1249" s="18" t="n">
        <x:v>810.74</x:v>
      </x:c>
      <x:c r="F1249" s="18"/>
      <x:c r="G1249" s="18" t="n">
        <x:v>-810.74</x:v>
      </x:c>
      <x:c r="H1249" s="18" t="n">
        <x:f>H1248+G1249</x:f>
        <x:v>9605841.479999984</x:v>
      </x:c>
    </x:row>
    <x:row r="1250">
      <x:c r="A1250" s="20" t="n">
        <x:v>46186</x:v>
      </x:c>
      <x:c r="B1250" s="21" t="str">
        <x:v>CHK0027952</x:v>
      </x:c>
      <x:c r="C1250" s="21" t="str">
        <x:v>CHECK PAYMENT - Brooks, Johnson and Olson - DP-2026-027952</x:v>
      </x:c>
      <x:c r="D1250" s="21" t="str">
        <x:v>Supplier payment</x:v>
      </x:c>
      <x:c r="E1250" s="18" t="n">
        <x:v>22500.7</x:v>
      </x:c>
      <x:c r="F1250" s="18"/>
      <x:c r="G1250" s="18" t="n">
        <x:v>-22500.7</x:v>
      </x:c>
      <x:c r="H1250" s="18" t="n">
        <x:f>H1249+G1250</x:f>
        <x:v>9583340.779999984</x:v>
      </x:c>
    </x:row>
    <x:row r="1251">
      <x:c r="A1251" s="20" t="n">
        <x:v>46186</x:v>
      </x:c>
      <x:c r="B1251" s="21" t="str">
        <x:v>CHK0028002</x:v>
      </x:c>
      <x:c r="C1251" s="21" t="str">
        <x:v>CHECK PAYMENT - Hernandez, Melendez and Mcdowell - DP-2026-028002</x:v>
      </x:c>
      <x:c r="D1251" s="21" t="str">
        <x:v>Supplier payment</x:v>
      </x:c>
      <x:c r="E1251" s="18" t="n">
        <x:v>12.08</x:v>
      </x:c>
      <x:c r="F1251" s="18"/>
      <x:c r="G1251" s="18" t="n">
        <x:v>-12.08</x:v>
      </x:c>
      <x:c r="H1251" s="18" t="n">
        <x:f>H1250+G1251</x:f>
        <x:v>9583328.699999984</x:v>
      </x:c>
    </x:row>
    <x:row r="1252">
      <x:c r="A1252" s="20" t="n">
        <x:v>46186</x:v>
      </x:c>
      <x:c r="B1252" s="21" t="str">
        <x:v>CHK0028066</x:v>
      </x:c>
      <x:c r="C1252" s="21" t="str">
        <x:v>CHECK PAYMENT - Bell, Pruitt and David - DP-2026-028066</x:v>
      </x:c>
      <x:c r="D1252" s="21" t="str">
        <x:v>Supplier payment</x:v>
      </x:c>
      <x:c r="E1252" s="18" t="n">
        <x:v>66.93</x:v>
      </x:c>
      <x:c r="F1252" s="18"/>
      <x:c r="G1252" s="18" t="n">
        <x:v>-66.93</x:v>
      </x:c>
      <x:c r="H1252" s="18" t="n">
        <x:f>H1251+G1252</x:f>
        <x:v>9583261.769999985</x:v>
      </x:c>
    </x:row>
    <x:row r="1253">
      <x:c r="A1253" s="20" t="n">
        <x:v>46186</x:v>
      </x:c>
      <x:c r="B1253" s="21" t="str">
        <x:v>CHK0028203</x:v>
      </x:c>
      <x:c r="C1253" s="21" t="str">
        <x:v>CHECK PAYMENT - Hernandez, Melendez and Mcdowell - DP-2026-028203</x:v>
      </x:c>
      <x:c r="D1253" s="21" t="str">
        <x:v>Supplier payment</x:v>
      </x:c>
      <x:c r="E1253" s="18" t="n">
        <x:v>518.5</x:v>
      </x:c>
      <x:c r="F1253" s="18"/>
      <x:c r="G1253" s="18" t="n">
        <x:v>-518.5</x:v>
      </x:c>
      <x:c r="H1253" s="18" t="n">
        <x:f>H1252+G1253</x:f>
        <x:v>9582743.269999985</x:v>
      </x:c>
    </x:row>
    <x:row r="1254">
      <x:c r="A1254" s="20" t="n">
        <x:v>46186</x:v>
      </x:c>
      <x:c r="B1254" s="21" t="str">
        <x:v>CHK0028224</x:v>
      </x:c>
      <x:c r="C1254" s="21" t="str">
        <x:v>CHECK PAYMENT - Anderson-Noble - DP-2026-028224</x:v>
      </x:c>
      <x:c r="D1254" s="21" t="str">
        <x:v>Supplier payment</x:v>
      </x:c>
      <x:c r="E1254" s="18" t="n">
        <x:v>984.75</x:v>
      </x:c>
      <x:c r="F1254" s="18"/>
      <x:c r="G1254" s="18" t="n">
        <x:v>-984.75</x:v>
      </x:c>
      <x:c r="H1254" s="18" t="n">
        <x:f>H1253+G1254</x:f>
        <x:v>9581758.519999985</x:v>
      </x:c>
    </x:row>
    <x:row r="1255">
      <x:c r="A1255" s="20" t="n">
        <x:v>46186</x:v>
      </x:c>
      <x:c r="B1255" s="21" t="str">
        <x:v>DEP00005917</x:v>
      </x:c>
      <x:c r="C1255" s="21" t="str">
        <x:v>CUSTOMER DEPOSIT - Ortiz Group - CR-2026-005917</x:v>
      </x:c>
      <x:c r="D1255" s="21" t="str">
        <x:v>Customer deposit</x:v>
      </x:c>
      <x:c r="E1255" s="18"/>
      <x:c r="F1255" s="18" t="n">
        <x:v>3545.46</x:v>
      </x:c>
      <x:c r="G1255" s="18" t="n">
        <x:v>3545.46</x:v>
      </x:c>
      <x:c r="H1255" s="18" t="n">
        <x:f>H1254+G1255</x:f>
        <x:v>9585303.979999986</x:v>
      </x:c>
    </x:row>
    <x:row r="1256">
      <x:c r="A1256" s="20" t="n">
        <x:v>46186</x:v>
      </x:c>
      <x:c r="B1256" s="21" t="str">
        <x:v>DEP00005920</x:v>
      </x:c>
      <x:c r="C1256" s="21" t="str">
        <x:v>CUSTOMER DEPOSIT - Rangel Ltd - CR-2026-005920</x:v>
      </x:c>
      <x:c r="D1256" s="21" t="str">
        <x:v>Customer deposit</x:v>
      </x:c>
      <x:c r="E1256" s="18"/>
      <x:c r="F1256" s="18" t="n">
        <x:v>3538.47</x:v>
      </x:c>
      <x:c r="G1256" s="18" t="n">
        <x:v>3538.47</x:v>
      </x:c>
      <x:c r="H1256" s="18" t="n">
        <x:f>H1255+G1256</x:f>
        <x:v>9588842.449999986</x:v>
      </x:c>
    </x:row>
    <x:row r="1257">
      <x:c r="A1257" s="20" t="n">
        <x:v>46186</x:v>
      </x:c>
      <x:c r="B1257" s="21" t="str">
        <x:v>DP-2026-027127</x:v>
      </x:c>
      <x:c r="C1257" s="21" t="str">
        <x:v>ACH PAYMENT - Hansen-Kaufman - DP-2026-027127</x:v>
      </x:c>
      <x:c r="D1257" s="21" t="str">
        <x:v>Supplier payment</x:v>
      </x:c>
      <x:c r="E1257" s="18" t="n">
        <x:v>299.78</x:v>
      </x:c>
      <x:c r="F1257" s="18"/>
      <x:c r="G1257" s="18" t="n">
        <x:v>-299.78</x:v>
      </x:c>
      <x:c r="H1257" s="18" t="n">
        <x:f>H1256+G1257</x:f>
        <x:v>9588542.669999987</x:v>
      </x:c>
    </x:row>
    <x:row r="1258">
      <x:c r="A1258" s="20" t="n">
        <x:v>46186</x:v>
      </x:c>
      <x:c r="B1258" s="21" t="str">
        <x:v>DP-2026-027142</x:v>
      </x:c>
      <x:c r="C1258" s="21" t="str">
        <x:v>ACH PAYMENT - Lindsey and Sons - DP-2026-027142</x:v>
      </x:c>
      <x:c r="D1258" s="21" t="str">
        <x:v>Supplier payment</x:v>
      </x:c>
      <x:c r="E1258" s="18" t="n">
        <x:v>2385.08</x:v>
      </x:c>
      <x:c r="F1258" s="18"/>
      <x:c r="G1258" s="18" t="n">
        <x:v>-2385.08</x:v>
      </x:c>
      <x:c r="H1258" s="18" t="n">
        <x:f>H1257+G1258</x:f>
        <x:v>9586157.589999987</x:v>
      </x:c>
    </x:row>
    <x:row r="1259">
      <x:c r="A1259" s="20" t="n">
        <x:v>46186</x:v>
      </x:c>
      <x:c r="B1259" s="21" t="str">
        <x:v>DP-2026-027947</x:v>
      </x:c>
      <x:c r="C1259" s="21" t="str">
        <x:v>ACH PAYMENT - Murphy, Williams and Sanders - DP-2026-027947</x:v>
      </x:c>
      <x:c r="D1259" s="21" t="str">
        <x:v>Supplier payment</x:v>
      </x:c>
      <x:c r="E1259" s="18" t="n">
        <x:v>10041.16</x:v>
      </x:c>
      <x:c r="F1259" s="18"/>
      <x:c r="G1259" s="18" t="n">
        <x:v>-10041.16</x:v>
      </x:c>
      <x:c r="H1259" s="18" t="n">
        <x:f>H1258+G1259</x:f>
        <x:v>9576116.429999987</x:v>
      </x:c>
    </x:row>
    <x:row r="1260">
      <x:c r="A1260" s="20" t="n">
        <x:v>46186</x:v>
      </x:c>
      <x:c r="B1260" s="21" t="str">
        <x:v>DP-2026-027960</x:v>
      </x:c>
      <x:c r="C1260" s="21" t="str">
        <x:v>ACH PAYMENT - Velasquez-Baxter - DP-2026-027960</x:v>
      </x:c>
      <x:c r="D1260" s="21" t="str">
        <x:v>Supplier payment</x:v>
      </x:c>
      <x:c r="E1260" s="18" t="n">
        <x:v>69.78</x:v>
      </x:c>
      <x:c r="F1260" s="18"/>
      <x:c r="G1260" s="18" t="n">
        <x:v>-69.78</x:v>
      </x:c>
      <x:c r="H1260" s="18" t="n">
        <x:f>H1259+G1260</x:f>
        <x:v>9576046.649999987</x:v>
      </x:c>
    </x:row>
    <x:row r="1261">
      <x:c r="A1261" s="20" t="n">
        <x:v>46186</x:v>
      </x:c>
      <x:c r="B1261" s="21" t="str">
        <x:v>DP-2026-028009</x:v>
      </x:c>
      <x:c r="C1261" s="21" t="str">
        <x:v>ACH PAYMENT - Collins-Johnson - DP-2026-028009</x:v>
      </x:c>
      <x:c r="D1261" s="21" t="str">
        <x:v>Supplier payment</x:v>
      </x:c>
      <x:c r="E1261" s="18" t="n">
        <x:v>122.31</x:v>
      </x:c>
      <x:c r="F1261" s="18"/>
      <x:c r="G1261" s="18" t="n">
        <x:v>-122.31</x:v>
      </x:c>
      <x:c r="H1261" s="18" t="n">
        <x:f>H1260+G1261</x:f>
        <x:v>9575924.339999987</x:v>
      </x:c>
    </x:row>
    <x:row r="1262">
      <x:c r="A1262" s="20" t="n">
        <x:v>46186</x:v>
      </x:c>
      <x:c r="B1262" s="21" t="str">
        <x:v>DP-2026-028011</x:v>
      </x:c>
      <x:c r="C1262" s="21" t="str">
        <x:v>ACH PAYMENT - Colon LLC - DP-2026-028011</x:v>
      </x:c>
      <x:c r="D1262" s="21" t="str">
        <x:v>Supplier payment</x:v>
      </x:c>
      <x:c r="E1262" s="18" t="n">
        <x:v>16.16</x:v>
      </x:c>
      <x:c r="F1262" s="18"/>
      <x:c r="G1262" s="18" t="n">
        <x:v>-16.16</x:v>
      </x:c>
      <x:c r="H1262" s="18" t="n">
        <x:f>H1261+G1262</x:f>
        <x:v>9575908.179999987</x:v>
      </x:c>
    </x:row>
    <x:row r="1263">
      <x:c r="A1263" s="20" t="n">
        <x:v>46186</x:v>
      </x:c>
      <x:c r="B1263" s="21" t="str">
        <x:v>DP-2026-028085</x:v>
      </x:c>
      <x:c r="C1263" s="21" t="str">
        <x:v>ACH PAYMENT - Hansen-Kaufman - DP-2026-028085</x:v>
      </x:c>
      <x:c r="D1263" s="21" t="str">
        <x:v>Supplier payment</x:v>
      </x:c>
      <x:c r="E1263" s="18" t="n">
        <x:v>1215.9</x:v>
      </x:c>
      <x:c r="F1263" s="18"/>
      <x:c r="G1263" s="18" t="n">
        <x:v>-1215.9</x:v>
      </x:c>
      <x:c r="H1263" s="18" t="n">
        <x:f>H1262+G1263</x:f>
        <x:v>9574692.279999986</x:v>
      </x:c>
    </x:row>
    <x:row r="1264">
      <x:c r="A1264" s="20" t="n">
        <x:v>46186</x:v>
      </x:c>
      <x:c r="B1264" s="21" t="str">
        <x:v>DP-2026-028104</x:v>
      </x:c>
      <x:c r="C1264" s="21" t="str">
        <x:v>ACH PAYMENT - Potter-Gross - DP-2026-028104</x:v>
      </x:c>
      <x:c r="D1264" s="21" t="str">
        <x:v>Supplier payment</x:v>
      </x:c>
      <x:c r="E1264" s="18" t="n">
        <x:v>7.95</x:v>
      </x:c>
      <x:c r="F1264" s="18"/>
      <x:c r="G1264" s="18" t="n">
        <x:v>-7.95</x:v>
      </x:c>
      <x:c r="H1264" s="18" t="n">
        <x:f>H1263+G1264</x:f>
        <x:v>9574684.329999987</x:v>
      </x:c>
    </x:row>
    <x:row r="1265">
      <x:c r="A1265" s="20" t="n">
        <x:v>46186</x:v>
      </x:c>
      <x:c r="B1265" s="21" t="str">
        <x:v>DP-2026-028115</x:v>
      </x:c>
      <x:c r="C1265" s="21" t="str">
        <x:v>ACH PAYMENT - Duran, Mccarthy and Myers - DP-2026-028115</x:v>
      </x:c>
      <x:c r="D1265" s="21" t="str">
        <x:v>Supplier payment</x:v>
      </x:c>
      <x:c r="E1265" s="18" t="n">
        <x:v>529.93</x:v>
      </x:c>
      <x:c r="F1265" s="18"/>
      <x:c r="G1265" s="18" t="n">
        <x:v>-529.93</x:v>
      </x:c>
      <x:c r="H1265" s="18" t="n">
        <x:f>H1264+G1265</x:f>
        <x:v>9574154.399999987</x:v>
      </x:c>
    </x:row>
    <x:row r="1266">
      <x:c r="A1266" s="20" t="n">
        <x:v>46186</x:v>
      </x:c>
      <x:c r="B1266" s="21" t="str">
        <x:v>DP-2026-028165</x:v>
      </x:c>
      <x:c r="C1266" s="21" t="str">
        <x:v>ACH PAYMENT - Potter-Gross - DP-2026-028165</x:v>
      </x:c>
      <x:c r="D1266" s="21" t="str">
        <x:v>Supplier payment</x:v>
      </x:c>
      <x:c r="E1266" s="18" t="n">
        <x:v>1618.13</x:v>
      </x:c>
      <x:c r="F1266" s="18"/>
      <x:c r="G1266" s="18" t="n">
        <x:v>-1618.13</x:v>
      </x:c>
      <x:c r="H1266" s="18" t="n">
        <x:f>H1265+G1266</x:f>
        <x:v>9572536.269999987</x:v>
      </x:c>
    </x:row>
    <x:row r="1267">
      <x:c r="A1267" s="20" t="n">
        <x:v>46186</x:v>
      </x:c>
      <x:c r="B1267" s="21" t="str">
        <x:v>DP-2026-028169</x:v>
      </x:c>
      <x:c r="C1267" s="21" t="str">
        <x:v>ACH PAYMENT - Nguyen-Weaver - DP-2026-028169</x:v>
      </x:c>
      <x:c r="D1267" s="21" t="str">
        <x:v>Supplier payment</x:v>
      </x:c>
      <x:c r="E1267" s="18" t="n">
        <x:v>97.59</x:v>
      </x:c>
      <x:c r="F1267" s="18"/>
      <x:c r="G1267" s="18" t="n">
        <x:v>-97.59</x:v>
      </x:c>
      <x:c r="H1267" s="18" t="n">
        <x:f>H1266+G1267</x:f>
        <x:v>9572438.679999987</x:v>
      </x:c>
    </x:row>
    <x:row r="1268">
      <x:c r="A1268" s="20" t="n">
        <x:v>46186</x:v>
      </x:c>
      <x:c r="B1268" s="21" t="str">
        <x:v>DP-2026-028193</x:v>
      </x:c>
      <x:c r="C1268" s="21" t="str">
        <x:v>ACH PAYMENT - Peters, Terry and Zimmerman - DP-2026-028193</x:v>
      </x:c>
      <x:c r="D1268" s="21" t="str">
        <x:v>Supplier payment</x:v>
      </x:c>
      <x:c r="E1268" s="18" t="n">
        <x:v>1213.3</x:v>
      </x:c>
      <x:c r="F1268" s="18"/>
      <x:c r="G1268" s="18" t="n">
        <x:v>-1213.3</x:v>
      </x:c>
      <x:c r="H1268" s="18" t="n">
        <x:f>H1267+G1268</x:f>
        <x:v>9571225.379999986</x:v>
      </x:c>
    </x:row>
    <x:row r="1269">
      <x:c r="A1269" s="20" t="n">
        <x:v>46186</x:v>
      </x:c>
      <x:c r="B1269" s="21" t="str">
        <x:v>DP-2026-028207</x:v>
      </x:c>
      <x:c r="C1269" s="21" t="str">
        <x:v>WIRE TRANSFER PAYMENT - Whitaker-Edwards - DP-2026-028207</x:v>
      </x:c>
      <x:c r="D1269" s="21" t="str">
        <x:v>Supplier payment</x:v>
      </x:c>
      <x:c r="E1269" s="18" t="n">
        <x:v>712.73</x:v>
      </x:c>
      <x:c r="F1269" s="18"/>
      <x:c r="G1269" s="18" t="n">
        <x:v>-712.73</x:v>
      </x:c>
      <x:c r="H1269" s="18" t="n">
        <x:f>H1268+G1269</x:f>
        <x:v>9570512.649999985</x:v>
      </x:c>
    </x:row>
    <x:row r="1270">
      <x:c r="A1270" s="20" t="n">
        <x:v>46186</x:v>
      </x:c>
      <x:c r="B1270" s="21" t="str">
        <x:v>DP-2026-028258</x:v>
      </x:c>
      <x:c r="C1270" s="21" t="str">
        <x:v>ACH PAYMENT - Powell Inc - DP-2026-028258</x:v>
      </x:c>
      <x:c r="D1270" s="21" t="str">
        <x:v>Supplier payment</x:v>
      </x:c>
      <x:c r="E1270" s="18" t="n">
        <x:v>159.44</x:v>
      </x:c>
      <x:c r="F1270" s="18"/>
      <x:c r="G1270" s="18" t="n">
        <x:v>-159.44</x:v>
      </x:c>
      <x:c r="H1270" s="18" t="n">
        <x:f>H1269+G1270</x:f>
        <x:v>9570353.209999986</x:v>
      </x:c>
    </x:row>
    <x:row r="1271">
      <x:c r="A1271" s="20" t="n">
        <x:v>46186</x:v>
      </x:c>
      <x:c r="B1271" s="21" t="str">
        <x:v>DP-2026-040053</x:v>
      </x:c>
      <x:c r="C1271" s="21" t="str">
        <x:v>ACH PAYMENT - Nelson-Rocha - DP-2026-040053</x:v>
      </x:c>
      <x:c r="D1271" s="21" t="str">
        <x:v>Supplier payment</x:v>
      </x:c>
      <x:c r="E1271" s="18" t="n">
        <x:v>4660.16</x:v>
      </x:c>
      <x:c r="F1271" s="18"/>
      <x:c r="G1271" s="18" t="n">
        <x:v>-4660.16</x:v>
      </x:c>
      <x:c r="H1271" s="18" t="n">
        <x:f>H1270+G1271</x:f>
        <x:v>9565693.049999986</x:v>
      </x:c>
    </x:row>
    <x:row r="1272">
      <x:c r="A1272" s="20" t="n">
        <x:v>46187</x:v>
      </x:c>
      <x:c r="B1272" s="21" t="str">
        <x:v>AR00005929</x:v>
      </x:c>
      <x:c r="C1272" s="21" t="str">
        <x:v>CUSTOMER DEPOSIT - Pierce, Pham and Hall - CR-2026-005929</x:v>
      </x:c>
      <x:c r="D1272" s="21" t="str">
        <x:v>Customer deposit</x:v>
      </x:c>
      <x:c r="E1272" s="18"/>
      <x:c r="F1272" s="18" t="n">
        <x:v>6302</x:v>
      </x:c>
      <x:c r="G1272" s="18" t="n">
        <x:v>6302</x:v>
      </x:c>
      <x:c r="H1272" s="18" t="n">
        <x:f>H1271+G1272</x:f>
        <x:v>9571995.049999986</x:v>
      </x:c>
    </x:row>
    <x:row r="1273">
      <x:c r="A1273" s="20" t="n">
        <x:v>46187</x:v>
      </x:c>
      <x:c r="B1273" s="21" t="str">
        <x:v>AR00005932</x:v>
      </x:c>
      <x:c r="C1273" s="21" t="str">
        <x:v>CUSTOMER DEPOSIT - Donaldson, Campbell and Arnold - CR-2026-005932</x:v>
      </x:c>
      <x:c r="D1273" s="21" t="str">
        <x:v>Customer deposit</x:v>
      </x:c>
      <x:c r="E1273" s="18"/>
      <x:c r="F1273" s="18" t="n">
        <x:v>2568.99</x:v>
      </x:c>
      <x:c r="G1273" s="18" t="n">
        <x:v>2568.99</x:v>
      </x:c>
      <x:c r="H1273" s="18" t="n">
        <x:f>H1272+G1273</x:f>
        <x:v>9574564.039999986</x:v>
      </x:c>
    </x:row>
    <x:row r="1274">
      <x:c r="A1274" s="20" t="n">
        <x:v>46187</x:v>
      </x:c>
      <x:c r="B1274" s="21" t="str">
        <x:v>AR00005942</x:v>
      </x:c>
      <x:c r="C1274" s="21" t="str">
        <x:v>CUSTOMER DEPOSIT - Ellison Ltd - CR-2026-005942</x:v>
      </x:c>
      <x:c r="D1274" s="21" t="str">
        <x:v>Customer deposit</x:v>
      </x:c>
      <x:c r="E1274" s="18"/>
      <x:c r="F1274" s="18" t="n">
        <x:v>18381.83</x:v>
      </x:c>
      <x:c r="G1274" s="18" t="n">
        <x:v>18381.83</x:v>
      </x:c>
      <x:c r="H1274" s="18" t="n">
        <x:f>H1273+G1274</x:f>
        <x:v>9592945.869999986</x:v>
      </x:c>
    </x:row>
    <x:row r="1275">
      <x:c r="A1275" s="20" t="n">
        <x:v>46187</x:v>
      </x:c>
      <x:c r="B1275" s="21" t="str">
        <x:v>AR00005946</x:v>
      </x:c>
      <x:c r="C1275" s="21" t="str">
        <x:v>CUSTOMER DEPOSIT - Larson Group - CR-2026-005946</x:v>
      </x:c>
      <x:c r="D1275" s="21" t="str">
        <x:v>Customer deposit</x:v>
      </x:c>
      <x:c r="E1275" s="18"/>
      <x:c r="F1275" s="18" t="n">
        <x:v>2978.72</x:v>
      </x:c>
      <x:c r="G1275" s="18" t="n">
        <x:v>2978.72</x:v>
      </x:c>
      <x:c r="H1275" s="18" t="n">
        <x:f>H1274+G1275</x:f>
        <x:v>9595924.589999987</x:v>
      </x:c>
    </x:row>
    <x:row r="1276">
      <x:c r="A1276" s="20" t="n">
        <x:v>46187</x:v>
      </x:c>
      <x:c r="B1276" s="21" t="str">
        <x:v>AR00005952</x:v>
      </x:c>
      <x:c r="C1276" s="21" t="str">
        <x:v>CUSTOMER DEPOSIT - Ramirez Group - CR-2026-005952</x:v>
      </x:c>
      <x:c r="D1276" s="21" t="str">
        <x:v>Customer deposit</x:v>
      </x:c>
      <x:c r="E1276" s="18"/>
      <x:c r="F1276" s="18" t="n">
        <x:v>8617.15</x:v>
      </x:c>
      <x:c r="G1276" s="18" t="n">
        <x:v>8617.15</x:v>
      </x:c>
      <x:c r="H1276" s="18" t="n">
        <x:f>H1275+G1276</x:f>
        <x:v>9604541.739999987</x:v>
      </x:c>
    </x:row>
    <x:row r="1277">
      <x:c r="A1277" s="20" t="n">
        <x:v>46187</x:v>
      </x:c>
      <x:c r="B1277" s="21" t="str">
        <x:v>AR00005957</x:v>
      </x:c>
      <x:c r="C1277" s="21" t="str">
        <x:v>CUSTOMER DEPOSIT - Nichols, Kelly and Williamson - CR-2026-005957</x:v>
      </x:c>
      <x:c r="D1277" s="21" t="str">
        <x:v>Customer deposit</x:v>
      </x:c>
      <x:c r="E1277" s="18"/>
      <x:c r="F1277" s="18" t="n">
        <x:v>4325.25</x:v>
      </x:c>
      <x:c r="G1277" s="18" t="n">
        <x:v>4325.25</x:v>
      </x:c>
      <x:c r="H1277" s="18" t="n">
        <x:f>H1276+G1277</x:f>
        <x:v>9608866.989999987</x:v>
      </x:c>
    </x:row>
    <x:row r="1278">
      <x:c r="A1278" s="20" t="n">
        <x:v>46187</x:v>
      </x:c>
      <x:c r="B1278" s="21" t="str">
        <x:v>AR00005965</x:v>
      </x:c>
      <x:c r="C1278" s="21" t="str">
        <x:v>CUSTOMER DEPOSIT - Wright, Johnson and Frye - CR-2026-005965</x:v>
      </x:c>
      <x:c r="D1278" s="21" t="str">
        <x:v>Customer deposit</x:v>
      </x:c>
      <x:c r="E1278" s="18"/>
      <x:c r="F1278" s="18" t="n">
        <x:v>5587.04</x:v>
      </x:c>
      <x:c r="G1278" s="18" t="n">
        <x:v>5587.04</x:v>
      </x:c>
      <x:c r="H1278" s="18" t="n">
        <x:f>H1277+G1278</x:f>
        <x:v>9614454.029999986</x:v>
      </x:c>
    </x:row>
    <x:row r="1279">
      <x:c r="A1279" s="20" t="n">
        <x:v>46187</x:v>
      </x:c>
      <x:c r="B1279" s="21" t="str">
        <x:v>AR00005966</x:v>
      </x:c>
      <x:c r="C1279" s="21" t="str">
        <x:v>CUSTOMER DEPOSIT - Alvarez-Smith - CR-2026-005966</x:v>
      </x:c>
      <x:c r="D1279" s="21" t="str">
        <x:v>Customer deposit</x:v>
      </x:c>
      <x:c r="E1279" s="18"/>
      <x:c r="F1279" s="18" t="n">
        <x:v>2333.18</x:v>
      </x:c>
      <x:c r="G1279" s="18" t="n">
        <x:v>2333.18</x:v>
      </x:c>
      <x:c r="H1279" s="18" t="n">
        <x:f>H1278+G1279</x:f>
        <x:v>9616787.209999986</x:v>
      </x:c>
    </x:row>
    <x:row r="1280">
      <x:c r="A1280" s="20" t="n">
        <x:v>46187</x:v>
      </x:c>
      <x:c r="B1280" s="21" t="str">
        <x:v>AR00005968</x:v>
      </x:c>
      <x:c r="C1280" s="21" t="str">
        <x:v>CUSTOMER DEPOSIT - Rosales Group - CR-2026-005968</x:v>
      </x:c>
      <x:c r="D1280" s="21" t="str">
        <x:v>Customer deposit</x:v>
      </x:c>
      <x:c r="E1280" s="18"/>
      <x:c r="F1280" s="18" t="n">
        <x:v>3156.99</x:v>
      </x:c>
      <x:c r="G1280" s="18" t="n">
        <x:v>3156.99</x:v>
      </x:c>
      <x:c r="H1280" s="18" t="n">
        <x:f>H1279+G1280</x:f>
        <x:v>9619944.199999986</x:v>
      </x:c>
    </x:row>
    <x:row r="1281">
      <x:c r="A1281" s="20" t="n">
        <x:v>46187</x:v>
      </x:c>
      <x:c r="B1281" s="21" t="str">
        <x:v>AR00005969</x:v>
      </x:c>
      <x:c r="C1281" s="21" t="str">
        <x:v>CUSTOMER DEPOSIT - Taylor, Beltran and Clark - CR-2026-005969</x:v>
      </x:c>
      <x:c r="D1281" s="21" t="str">
        <x:v>Customer deposit</x:v>
      </x:c>
      <x:c r="E1281" s="18"/>
      <x:c r="F1281" s="18" t="n">
        <x:v>16965.65</x:v>
      </x:c>
      <x:c r="G1281" s="18" t="n">
        <x:v>16965.65</x:v>
      </x:c>
      <x:c r="H1281" s="18" t="n">
        <x:f>H1280+G1281</x:f>
        <x:v>9636909.849999987</x:v>
      </x:c>
    </x:row>
    <x:row r="1282">
      <x:c r="A1282" s="20" t="n">
        <x:v>46187</x:v>
      </x:c>
      <x:c r="B1282" s="21" t="str">
        <x:v>AR00005995</x:v>
      </x:c>
      <x:c r="C1282" s="21" t="str">
        <x:v>CUSTOMER DEPOSIT - Roberts-David - CR-2026-005995</x:v>
      </x:c>
      <x:c r="D1282" s="21" t="str">
        <x:v>Customer deposit</x:v>
      </x:c>
      <x:c r="E1282" s="18"/>
      <x:c r="F1282" s="18" t="n">
        <x:v>1999.2</x:v>
      </x:c>
      <x:c r="G1282" s="18" t="n">
        <x:v>1999.2</x:v>
      </x:c>
      <x:c r="H1282" s="18" t="n">
        <x:f>H1281+G1282</x:f>
        <x:v>9638909.049999986</x:v>
      </x:c>
    </x:row>
    <x:row r="1283">
      <x:c r="A1283" s="20" t="n">
        <x:v>46187</x:v>
      </x:c>
      <x:c r="B1283" s="21" t="str">
        <x:v>AR00006016</x:v>
      </x:c>
      <x:c r="C1283" s="21" t="str">
        <x:v>CUSTOMER DEPOSIT - Jackson, Wade and Carter - CR-2026-006016</x:v>
      </x:c>
      <x:c r="D1283" s="21" t="str">
        <x:v>Customer deposit</x:v>
      </x:c>
      <x:c r="E1283" s="18"/>
      <x:c r="F1283" s="18" t="n">
        <x:v>1508.53</x:v>
      </x:c>
      <x:c r="G1283" s="18" t="n">
        <x:v>1508.53</x:v>
      </x:c>
      <x:c r="H1283" s="18" t="n">
        <x:f>H1282+G1283</x:f>
        <x:v>9640417.579999985</x:v>
      </x:c>
    </x:row>
    <x:row r="1284">
      <x:c r="A1284" s="20" t="n">
        <x:v>46187</x:v>
      </x:c>
      <x:c r="B1284" s="21" t="str">
        <x:v>AR00006017</x:v>
      </x:c>
      <x:c r="C1284" s="21" t="str">
        <x:v>CUSTOMER DEPOSIT - Thompson, Warren and Leblanc - CR-2026-006017</x:v>
      </x:c>
      <x:c r="D1284" s="21" t="str">
        <x:v>Customer deposit</x:v>
      </x:c>
      <x:c r="E1284" s="18"/>
      <x:c r="F1284" s="18" t="n">
        <x:v>46214.52</x:v>
      </x:c>
      <x:c r="G1284" s="18" t="n">
        <x:v>46214.52</x:v>
      </x:c>
      <x:c r="H1284" s="18" t="n">
        <x:f>H1283+G1284</x:f>
        <x:v>9686632.099999985</x:v>
      </x:c>
    </x:row>
    <x:row r="1285">
      <x:c r="A1285" s="20" t="n">
        <x:v>46187</x:v>
      </x:c>
      <x:c r="B1285" s="21" t="str">
        <x:v>AR00006019</x:v>
      </x:c>
      <x:c r="C1285" s="21" t="str">
        <x:v>CUSTOMER DEPOSIT - Moore, Escobar and Werner - CR-2026-006019</x:v>
      </x:c>
      <x:c r="D1285" s="21" t="str">
        <x:v>Customer deposit</x:v>
      </x:c>
      <x:c r="E1285" s="18"/>
      <x:c r="F1285" s="18" t="n">
        <x:v>2414.85</x:v>
      </x:c>
      <x:c r="G1285" s="18" t="n">
        <x:v>2414.85</x:v>
      </x:c>
      <x:c r="H1285" s="18" t="n">
        <x:f>H1284+G1285</x:f>
        <x:v>9689046.949999984</x:v>
      </x:c>
    </x:row>
    <x:row r="1286">
      <x:c r="A1286" s="20" t="n">
        <x:v>46187</x:v>
      </x:c>
      <x:c r="B1286" s="21" t="str">
        <x:v>AR00006028</x:v>
      </x:c>
      <x:c r="C1286" s="21" t="str">
        <x:v>CUSTOMER DEPOSIT - Olsen, Cruz and Frazier - CR-2026-006028</x:v>
      </x:c>
      <x:c r="D1286" s="21" t="str">
        <x:v>Customer deposit</x:v>
      </x:c>
      <x:c r="E1286" s="18"/>
      <x:c r="F1286" s="18" t="n">
        <x:v>5457.61</x:v>
      </x:c>
      <x:c r="G1286" s="18" t="n">
        <x:v>5457.61</x:v>
      </x:c>
      <x:c r="H1286" s="18" t="n">
        <x:f>H1285+G1286</x:f>
        <x:v>9694504.559999984</x:v>
      </x:c>
    </x:row>
    <x:row r="1287">
      <x:c r="A1287" s="20" t="n">
        <x:v>46187</x:v>
      </x:c>
      <x:c r="B1287" s="21" t="str">
        <x:v>AR00006042</x:v>
      </x:c>
      <x:c r="C1287" s="21" t="str">
        <x:v>CUSTOMER DEPOSIT - Mcintyre, Harrington and Everett - CR-2026-006042</x:v>
      </x:c>
      <x:c r="D1287" s="21" t="str">
        <x:v>Customer deposit</x:v>
      </x:c>
      <x:c r="E1287" s="18"/>
      <x:c r="F1287" s="18" t="n">
        <x:v>5749.89</x:v>
      </x:c>
      <x:c r="G1287" s="18" t="n">
        <x:v>5749.89</x:v>
      </x:c>
      <x:c r="H1287" s="18" t="n">
        <x:f>H1286+G1287</x:f>
        <x:v>9700254.449999984</x:v>
      </x:c>
    </x:row>
    <x:row r="1288">
      <x:c r="A1288" s="20" t="n">
        <x:v>46187</x:v>
      </x:c>
      <x:c r="B1288" s="21" t="str">
        <x:v>AR00006051</x:v>
      </x:c>
      <x:c r="C1288" s="21" t="str">
        <x:v>CUSTOMER DEPOSIT - Ellis-Murphy - CR-2026-006051</x:v>
      </x:c>
      <x:c r="D1288" s="21" t="str">
        <x:v>Customer deposit</x:v>
      </x:c>
      <x:c r="E1288" s="18"/>
      <x:c r="F1288" s="18" t="n">
        <x:v>3547.37</x:v>
      </x:c>
      <x:c r="G1288" s="18" t="n">
        <x:v>3547.37</x:v>
      </x:c>
      <x:c r="H1288" s="18" t="n">
        <x:f>H1287+G1288</x:f>
        <x:v>9703801.819999984</x:v>
      </x:c>
    </x:row>
    <x:row r="1289">
      <x:c r="A1289" s="20" t="n">
        <x:v>46187</x:v>
      </x:c>
      <x:c r="B1289" s="21" t="str">
        <x:v>AR00006057</x:v>
      </x:c>
      <x:c r="C1289" s="21" t="str">
        <x:v>CUSTOMER DEPOSIT - Owens Group - CR-2026-006057</x:v>
      </x:c>
      <x:c r="D1289" s="21" t="str">
        <x:v>Customer deposit</x:v>
      </x:c>
      <x:c r="E1289" s="18"/>
      <x:c r="F1289" s="18" t="n">
        <x:v>22802.58</x:v>
      </x:c>
      <x:c r="G1289" s="18" t="n">
        <x:v>22802.58</x:v>
      </x:c>
      <x:c r="H1289" s="18" t="n">
        <x:f>H1288+G1289</x:f>
        <x:v>9726604.399999984</x:v>
      </x:c>
    </x:row>
    <x:row r="1290">
      <x:c r="A1290" s="20" t="n">
        <x:v>46187</x:v>
      </x:c>
      <x:c r="B1290" s="21" t="str">
        <x:v>AR00006071</x:v>
      </x:c>
      <x:c r="C1290" s="21" t="str">
        <x:v>CUSTOMER DEPOSIT - Reed Inc - CR-2026-006071</x:v>
      </x:c>
      <x:c r="D1290" s="21" t="str">
        <x:v>Customer deposit</x:v>
      </x:c>
      <x:c r="E1290" s="18"/>
      <x:c r="F1290" s="18" t="n">
        <x:v>5236.61</x:v>
      </x:c>
      <x:c r="G1290" s="18" t="n">
        <x:v>5236.61</x:v>
      </x:c>
      <x:c r="H1290" s="18" t="n">
        <x:f>H1289+G1290</x:f>
        <x:v>9731841.009999983</x:v>
      </x:c>
    </x:row>
    <x:row r="1291">
      <x:c r="A1291" s="20" t="n">
        <x:v>46187</x:v>
      </x:c>
      <x:c r="B1291" s="21" t="str">
        <x:v>AR00006072</x:v>
      </x:c>
      <x:c r="C1291" s="21" t="str">
        <x:v>CUSTOMER DEPOSIT - Garcia Inc - CR-2026-006072</x:v>
      </x:c>
      <x:c r="D1291" s="21" t="str">
        <x:v>Customer deposit</x:v>
      </x:c>
      <x:c r="E1291" s="18"/>
      <x:c r="F1291" s="18" t="n">
        <x:v>36958</x:v>
      </x:c>
      <x:c r="G1291" s="18" t="n">
        <x:v>36958</x:v>
      </x:c>
      <x:c r="H1291" s="18" t="n">
        <x:f>H1290+G1291</x:f>
        <x:v>9768799.009999983</x:v>
      </x:c>
    </x:row>
    <x:row r="1292">
      <x:c r="A1292" s="20" t="n">
        <x:v>46187</x:v>
      </x:c>
      <x:c r="B1292" s="21" t="str">
        <x:v>AR00006081</x:v>
      </x:c>
      <x:c r="C1292" s="21" t="str">
        <x:v>CUSTOMER DEPOSIT - French, Sandoval and Everett - CR-2026-006081</x:v>
      </x:c>
      <x:c r="D1292" s="21" t="str">
        <x:v>Customer deposit</x:v>
      </x:c>
      <x:c r="E1292" s="18"/>
      <x:c r="F1292" s="18" t="n">
        <x:v>10451.88</x:v>
      </x:c>
      <x:c r="G1292" s="18" t="n">
        <x:v>10451.88</x:v>
      </x:c>
      <x:c r="H1292" s="18" t="n">
        <x:f>H1291+G1292</x:f>
        <x:v>9779250.889999984</x:v>
      </x:c>
    </x:row>
    <x:row r="1293">
      <x:c r="A1293" s="20" t="n">
        <x:v>46187</x:v>
      </x:c>
      <x:c r="B1293" s="21" t="str">
        <x:v>AR00006091</x:v>
      </x:c>
      <x:c r="C1293" s="21" t="str">
        <x:v>CUSTOMER DEPOSIT - Ibarra Ltd - CR-2026-006091</x:v>
      </x:c>
      <x:c r="D1293" s="21" t="str">
        <x:v>Customer deposit</x:v>
      </x:c>
      <x:c r="E1293" s="18"/>
      <x:c r="F1293" s="18" t="n">
        <x:v>16577.84</x:v>
      </x:c>
      <x:c r="G1293" s="18" t="n">
        <x:v>16577.84</x:v>
      </x:c>
      <x:c r="H1293" s="18" t="n">
        <x:f>H1292+G1293</x:f>
        <x:v>9795828.729999984</x:v>
      </x:c>
    </x:row>
    <x:row r="1294">
      <x:c r="A1294" s="20" t="n">
        <x:v>46187</x:v>
      </x:c>
      <x:c r="B1294" s="21" t="str">
        <x:v>AR00006098</x:v>
      </x:c>
      <x:c r="C1294" s="21" t="str">
        <x:v>CUSTOMER DEPOSIT - Thompson, Nixon and Wilson - CR-2026-006098</x:v>
      </x:c>
      <x:c r="D1294" s="21" t="str">
        <x:v>Customer deposit</x:v>
      </x:c>
      <x:c r="E1294" s="18"/>
      <x:c r="F1294" s="18" t="n">
        <x:v>23614.94</x:v>
      </x:c>
      <x:c r="G1294" s="18" t="n">
        <x:v>23614.94</x:v>
      </x:c>
      <x:c r="H1294" s="18" t="n">
        <x:f>H1293+G1294</x:f>
        <x:v>9819443.669999983</x:v>
      </x:c>
    </x:row>
    <x:row r="1295">
      <x:c r="A1295" s="20" t="n">
        <x:v>46187</x:v>
      </x:c>
      <x:c r="B1295" s="21" t="str">
        <x:v>AR00006107</x:v>
      </x:c>
      <x:c r="C1295" s="21" t="str">
        <x:v>CUSTOMER DEPOSIT - Walker Ltd - CR-2026-006107</x:v>
      </x:c>
      <x:c r="D1295" s="21" t="str">
        <x:v>Customer deposit</x:v>
      </x:c>
      <x:c r="E1295" s="18"/>
      <x:c r="F1295" s="18" t="n">
        <x:v>17760.49</x:v>
      </x:c>
      <x:c r="G1295" s="18" t="n">
        <x:v>17760.49</x:v>
      </x:c>
      <x:c r="H1295" s="18" t="n">
        <x:f>H1294+G1295</x:f>
        <x:v>9837204.159999983</x:v>
      </x:c>
    </x:row>
    <x:row r="1296">
      <x:c r="A1296" s="20" t="n">
        <x:v>46187</x:v>
      </x:c>
      <x:c r="B1296" s="21" t="str">
        <x:v>AR00006110</x:v>
      </x:c>
      <x:c r="C1296" s="21" t="str">
        <x:v>CUSTOMER DEPOSIT - Campbell, Martinez and Lucero - CR-2026-006110</x:v>
      </x:c>
      <x:c r="D1296" s="21" t="str">
        <x:v>Customer deposit</x:v>
      </x:c>
      <x:c r="E1296" s="18"/>
      <x:c r="F1296" s="18" t="n">
        <x:v>20391.53</x:v>
      </x:c>
      <x:c r="G1296" s="18" t="n">
        <x:v>20391.53</x:v>
      </x:c>
      <x:c r="H1296" s="18" t="n">
        <x:f>H1295+G1296</x:f>
        <x:v>9857595.689999983</x:v>
      </x:c>
    </x:row>
    <x:row r="1297">
      <x:c r="A1297" s="20" t="n">
        <x:v>46187</x:v>
      </x:c>
      <x:c r="B1297" s="21" t="str">
        <x:v>AR00006113</x:v>
      </x:c>
      <x:c r="C1297" s="21" t="str">
        <x:v>CUSTOMER DEPOSIT - Stewart, Vazquez and Cain - CR-2026-006113</x:v>
      </x:c>
      <x:c r="D1297" s="21" t="str">
        <x:v>Customer deposit</x:v>
      </x:c>
      <x:c r="E1297" s="18"/>
      <x:c r="F1297" s="18" t="n">
        <x:v>9284.47</x:v>
      </x:c>
      <x:c r="G1297" s="18" t="n">
        <x:v>9284.47</x:v>
      </x:c>
      <x:c r="H1297" s="18" t="n">
        <x:f>H1296+G1297</x:f>
        <x:v>9866880.159999983</x:v>
      </x:c>
    </x:row>
    <x:row r="1298">
      <x:c r="A1298" s="20" t="n">
        <x:v>46187</x:v>
      </x:c>
      <x:c r="B1298" s="21" t="str">
        <x:v>AR00006121</x:v>
      </x:c>
      <x:c r="C1298" s="21" t="str">
        <x:v>CUSTOMER DEPOSIT - Brady Group - CR-2026-006121</x:v>
      </x:c>
      <x:c r="D1298" s="21" t="str">
        <x:v>Customer deposit</x:v>
      </x:c>
      <x:c r="E1298" s="18"/>
      <x:c r="F1298" s="18" t="n">
        <x:v>37781.44</x:v>
      </x:c>
      <x:c r="G1298" s="18" t="n">
        <x:v>37781.44</x:v>
      </x:c>
      <x:c r="H1298" s="18" t="n">
        <x:f>H1297+G1298</x:f>
        <x:v>9904661.599999983</x:v>
      </x:c>
    </x:row>
    <x:row r="1299">
      <x:c r="A1299" s="20" t="n">
        <x:v>46187</x:v>
      </x:c>
      <x:c r="B1299" s="21" t="str">
        <x:v>AR00006124</x:v>
      </x:c>
      <x:c r="C1299" s="21" t="str">
        <x:v>CUSTOMER DEPOSIT - Thomas Ltd - CR-2026-006124</x:v>
      </x:c>
      <x:c r="D1299" s="21" t="str">
        <x:v>Customer deposit</x:v>
      </x:c>
      <x:c r="E1299" s="18"/>
      <x:c r="F1299" s="18" t="n">
        <x:v>27640.36</x:v>
      </x:c>
      <x:c r="G1299" s="18" t="n">
        <x:v>27640.36</x:v>
      </x:c>
      <x:c r="H1299" s="18" t="n">
        <x:f>H1298+G1299</x:f>
        <x:v>9932301.959999982</x:v>
      </x:c>
    </x:row>
    <x:row r="1300">
      <x:c r="A1300" s="20" t="n">
        <x:v>46187</x:v>
      </x:c>
      <x:c r="B1300" s="21" t="str">
        <x:v>AR00006127</x:v>
      </x:c>
      <x:c r="C1300" s="21" t="str">
        <x:v>CUSTOMER DEPOSIT - Salas, King and Lucas - CR-2026-006127</x:v>
      </x:c>
      <x:c r="D1300" s="21" t="str">
        <x:v>Customer deposit</x:v>
      </x:c>
      <x:c r="E1300" s="18"/>
      <x:c r="F1300" s="18" t="n">
        <x:v>41933.87</x:v>
      </x:c>
      <x:c r="G1300" s="18" t="n">
        <x:v>41933.87</x:v>
      </x:c>
      <x:c r="H1300" s="18" t="n">
        <x:f>H1299+G1300</x:f>
        <x:v>9974235.829999981</x:v>
      </x:c>
    </x:row>
    <x:row r="1301">
      <x:c r="A1301" s="20" t="n">
        <x:v>46187</x:v>
      </x:c>
      <x:c r="B1301" s="21" t="str">
        <x:v>CHK0027132</x:v>
      </x:c>
      <x:c r="C1301" s="21" t="str">
        <x:v>CHECK PAYMENT - Watson, Mitchell and Chen - DP-2026-027132</x:v>
      </x:c>
      <x:c r="D1301" s="21" t="str">
        <x:v>Supplier payment</x:v>
      </x:c>
      <x:c r="E1301" s="18" t="n">
        <x:v>1692.62</x:v>
      </x:c>
      <x:c r="F1301" s="18"/>
      <x:c r="G1301" s="18" t="n">
        <x:v>-1692.62</x:v>
      </x:c>
      <x:c r="H1301" s="18" t="n">
        <x:f>H1300+G1301</x:f>
        <x:v>9972543.209999982</x:v>
      </x:c>
    </x:row>
    <x:row r="1302">
      <x:c r="A1302" s="20" t="n">
        <x:v>46187</x:v>
      </x:c>
      <x:c r="B1302" s="21" t="str">
        <x:v>CHK0028001</x:v>
      </x:c>
      <x:c r="C1302" s="21" t="str">
        <x:v>CHECK PAYMENT - Fuller LLC - DP-2026-028001</x:v>
      </x:c>
      <x:c r="D1302" s="21" t="str">
        <x:v>Supplier payment</x:v>
      </x:c>
      <x:c r="E1302" s="18" t="n">
        <x:v>1007.33</x:v>
      </x:c>
      <x:c r="F1302" s="18"/>
      <x:c r="G1302" s="18" t="n">
        <x:v>-1007.33</x:v>
      </x:c>
      <x:c r="H1302" s="18" t="n">
        <x:f>H1301+G1302</x:f>
        <x:v>9971535.879999982</x:v>
      </x:c>
    </x:row>
    <x:row r="1303">
      <x:c r="A1303" s="20" t="n">
        <x:v>46187</x:v>
      </x:c>
      <x:c r="B1303" s="21" t="str">
        <x:v>CHK0028019</x:v>
      </x:c>
      <x:c r="C1303" s="21" t="str">
        <x:v>CHECK PAYMENT - Hester Ltd - DP-2026-028019</x:v>
      </x:c>
      <x:c r="D1303" s="21" t="str">
        <x:v>Supplier payment</x:v>
      </x:c>
      <x:c r="E1303" s="18" t="n">
        <x:v>378.89</x:v>
      </x:c>
      <x:c r="F1303" s="18"/>
      <x:c r="G1303" s="18" t="n">
        <x:v>-378.89</x:v>
      </x:c>
      <x:c r="H1303" s="18" t="n">
        <x:f>H1302+G1303</x:f>
        <x:v>9971156.989999982</x:v>
      </x:c>
    </x:row>
    <x:row r="1304">
      <x:c r="A1304" s="20" t="n">
        <x:v>46187</x:v>
      </x:c>
      <x:c r="B1304" s="21" t="str">
        <x:v>CHK0028024</x:v>
      </x:c>
      <x:c r="C1304" s="21" t="str">
        <x:v>CHECK PAYMENT - Lindsey and Sons - DP-2026-028024</x:v>
      </x:c>
      <x:c r="D1304" s="21" t="str">
        <x:v>Supplier payment</x:v>
      </x:c>
      <x:c r="E1304" s="18" t="n">
        <x:v>126.45</x:v>
      </x:c>
      <x:c r="F1304" s="18"/>
      <x:c r="G1304" s="18" t="n">
        <x:v>-126.45</x:v>
      </x:c>
      <x:c r="H1304" s="18" t="n">
        <x:f>H1303+G1304</x:f>
        <x:v>9971030.539999982</x:v>
      </x:c>
    </x:row>
    <x:row r="1305">
      <x:c r="A1305" s="20" t="n">
        <x:v>46187</x:v>
      </x:c>
      <x:c r="B1305" s="21" t="str">
        <x:v>CHK0028040</x:v>
      </x:c>
      <x:c r="C1305" s="21" t="str">
        <x:v>CHECK PAYMENT - Bell, Pruitt and David - DP-2026-028040</x:v>
      </x:c>
      <x:c r="D1305" s="21" t="str">
        <x:v>Supplier payment</x:v>
      </x:c>
      <x:c r="E1305" s="18" t="n">
        <x:v>94.64</x:v>
      </x:c>
      <x:c r="F1305" s="18"/>
      <x:c r="G1305" s="18" t="n">
        <x:v>-94.64</x:v>
      </x:c>
      <x:c r="H1305" s="18" t="n">
        <x:f>H1304+G1305</x:f>
        <x:v>9970935.899999982</x:v>
      </x:c>
    </x:row>
    <x:row r="1306">
      <x:c r="A1306" s="20" t="n">
        <x:v>46187</x:v>
      </x:c>
      <x:c r="B1306" s="21" t="str">
        <x:v>CHK0028083</x:v>
      </x:c>
      <x:c r="C1306" s="21" t="str">
        <x:v>CHECK PAYMENT - Coleman-Moore - DP-2026-028083</x:v>
      </x:c>
      <x:c r="D1306" s="21" t="str">
        <x:v>Supplier payment</x:v>
      </x:c>
      <x:c r="E1306" s="18" t="n">
        <x:v>204.47</x:v>
      </x:c>
      <x:c r="F1306" s="18"/>
      <x:c r="G1306" s="18" t="n">
        <x:v>-204.47</x:v>
      </x:c>
      <x:c r="H1306" s="18" t="n">
        <x:f>H1305+G1306</x:f>
        <x:v>9970731.429999981</x:v>
      </x:c>
    </x:row>
    <x:row r="1307">
      <x:c r="A1307" s="20" t="n">
        <x:v>46187</x:v>
      </x:c>
      <x:c r="B1307" s="21" t="str">
        <x:v>CHK0028110</x:v>
      </x:c>
      <x:c r="C1307" s="21" t="str">
        <x:v>CHECK PAYMENT - Bell, Pruitt and David - DP-2026-028110</x:v>
      </x:c>
      <x:c r="D1307" s="21" t="str">
        <x:v>Supplier payment</x:v>
      </x:c>
      <x:c r="E1307" s="18" t="n">
        <x:v>738.67</x:v>
      </x:c>
      <x:c r="F1307" s="18"/>
      <x:c r="G1307" s="18" t="n">
        <x:v>-738.67</x:v>
      </x:c>
      <x:c r="H1307" s="18" t="n">
        <x:f>H1306+G1307</x:f>
        <x:v>9969992.759999981</x:v>
      </x:c>
    </x:row>
    <x:row r="1308">
      <x:c r="A1308" s="20" t="n">
        <x:v>46187</x:v>
      </x:c>
      <x:c r="B1308" s="21" t="str">
        <x:v>CHK0028131</x:v>
      </x:c>
      <x:c r="C1308" s="21" t="str">
        <x:v>CHECK PAYMENT - Robinson, Yang and Mckay - DP-2026-028131</x:v>
      </x:c>
      <x:c r="D1308" s="21" t="str">
        <x:v>Supplier payment</x:v>
      </x:c>
      <x:c r="E1308" s="18" t="n">
        <x:v>689.97</x:v>
      </x:c>
      <x:c r="F1308" s="18"/>
      <x:c r="G1308" s="18" t="n">
        <x:v>-689.97</x:v>
      </x:c>
      <x:c r="H1308" s="18" t="n">
        <x:f>H1307+G1308</x:f>
        <x:v>9969302.78999998</x:v>
      </x:c>
    </x:row>
    <x:row r="1309">
      <x:c r="A1309" s="20" t="n">
        <x:v>46187</x:v>
      </x:c>
      <x:c r="B1309" s="21" t="str">
        <x:v>CHK0028180</x:v>
      </x:c>
      <x:c r="C1309" s="21" t="str">
        <x:v>CHECK PAYMENT - Harris, Taylor and Perkins - DP-2026-028180</x:v>
      </x:c>
      <x:c r="D1309" s="21" t="str">
        <x:v>Supplier payment</x:v>
      </x:c>
      <x:c r="E1309" s="18" t="n">
        <x:v>986.74</x:v>
      </x:c>
      <x:c r="F1309" s="18"/>
      <x:c r="G1309" s="18" t="n">
        <x:v>-986.74</x:v>
      </x:c>
      <x:c r="H1309" s="18" t="n">
        <x:f>H1308+G1309</x:f>
        <x:v>9968316.04999998</x:v>
      </x:c>
    </x:row>
    <x:row r="1310">
      <x:c r="A1310" s="20" t="n">
        <x:v>46187</x:v>
      </x:c>
      <x:c r="B1310" s="21" t="str">
        <x:v>CHK0028243</x:v>
      </x:c>
      <x:c r="C1310" s="21" t="str">
        <x:v>CHECK PAYMENT - Lyons-Sheppard - DP-2026-028243</x:v>
      </x:c>
      <x:c r="D1310" s="21" t="str">
        <x:v>Supplier payment</x:v>
      </x:c>
      <x:c r="E1310" s="18" t="n">
        <x:v>103.19</x:v>
      </x:c>
      <x:c r="F1310" s="18"/>
      <x:c r="G1310" s="18" t="n">
        <x:v>-103.19</x:v>
      </x:c>
      <x:c r="H1310" s="18" t="n">
        <x:f>H1309+G1310</x:f>
        <x:v>9968212.85999998</x:v>
      </x:c>
    </x:row>
    <x:row r="1311">
      <x:c r="A1311" s="20" t="n">
        <x:v>46187</x:v>
      </x:c>
      <x:c r="B1311" s="21" t="str">
        <x:v>CHK0028246</x:v>
      </x:c>
      <x:c r="C1311" s="21" t="str">
        <x:v>CHECK PAYMENT - Watson, Mitchell and Chen - DP-2026-028246</x:v>
      </x:c>
      <x:c r="D1311" s="21" t="str">
        <x:v>Supplier payment</x:v>
      </x:c>
      <x:c r="E1311" s="18" t="n">
        <x:v>153.01</x:v>
      </x:c>
      <x:c r="F1311" s="18"/>
      <x:c r="G1311" s="18" t="n">
        <x:v>-153.01</x:v>
      </x:c>
      <x:c r="H1311" s="18" t="n">
        <x:f>H1310+G1311</x:f>
        <x:v>9968059.849999981</x:v>
      </x:c>
    </x:row>
    <x:row r="1312">
      <x:c r="A1312" s="20" t="n">
        <x:v>46187</x:v>
      </x:c>
      <x:c r="B1312" s="21" t="str">
        <x:v>DP-2026-027141</x:v>
      </x:c>
      <x:c r="C1312" s="21" t="str">
        <x:v>ACH PAYMENT - Williams, Baker and Santos - DP-2026-027141</x:v>
      </x:c>
      <x:c r="D1312" s="21" t="str">
        <x:v>Supplier payment</x:v>
      </x:c>
      <x:c r="E1312" s="18" t="n">
        <x:v>735.48</x:v>
      </x:c>
      <x:c r="F1312" s="18"/>
      <x:c r="G1312" s="18" t="n">
        <x:v>-735.48</x:v>
      </x:c>
      <x:c r="H1312" s="18" t="n">
        <x:f>H1311+G1312</x:f>
        <x:v>9967324.36999998</x:v>
      </x:c>
    </x:row>
    <x:row r="1313">
      <x:c r="A1313" s="20" t="n">
        <x:v>46187</x:v>
      </x:c>
      <x:c r="B1313" s="21" t="str">
        <x:v>DP-2026-027143</x:v>
      </x:c>
      <x:c r="C1313" s="21" t="str">
        <x:v>ACH PAYMENT - Garcia Group - DP-2026-027143</x:v>
      </x:c>
      <x:c r="D1313" s="21" t="str">
        <x:v>Supplier payment</x:v>
      </x:c>
      <x:c r="E1313" s="18" t="n">
        <x:v>622.41</x:v>
      </x:c>
      <x:c r="F1313" s="18"/>
      <x:c r="G1313" s="18" t="n">
        <x:v>-622.41</x:v>
      </x:c>
      <x:c r="H1313" s="18" t="n">
        <x:f>H1312+G1313</x:f>
        <x:v>9966701.95999998</x:v>
      </x:c>
    </x:row>
    <x:row r="1314">
      <x:c r="A1314" s="20" t="n">
        <x:v>46187</x:v>
      </x:c>
      <x:c r="B1314" s="21" t="str">
        <x:v>DP-2026-027144</x:v>
      </x:c>
      <x:c r="C1314" s="21" t="str">
        <x:v>ACH PAYMENT - Lindsey and Sons - DP-2026-027144</x:v>
      </x:c>
      <x:c r="D1314" s="21" t="str">
        <x:v>Supplier payment</x:v>
      </x:c>
      <x:c r="E1314" s="18" t="n">
        <x:v>823.04</x:v>
      </x:c>
      <x:c r="F1314" s="18"/>
      <x:c r="G1314" s="18" t="n">
        <x:v>-823.04</x:v>
      </x:c>
      <x:c r="H1314" s="18" t="n">
        <x:f>H1313+G1314</x:f>
        <x:v>9965878.919999981</x:v>
      </x:c>
    </x:row>
    <x:row r="1315">
      <x:c r="A1315" s="20" t="n">
        <x:v>46187</x:v>
      </x:c>
      <x:c r="B1315" s="21" t="str">
        <x:v>DP-2026-027147</x:v>
      </x:c>
      <x:c r="C1315" s="21" t="str">
        <x:v>ACH PAYMENT - Bell, Pruitt and David - DP-2026-027147</x:v>
      </x:c>
      <x:c r="D1315" s="21" t="str">
        <x:v>Supplier payment</x:v>
      </x:c>
      <x:c r="E1315" s="18" t="n">
        <x:v>556.86</x:v>
      </x:c>
      <x:c r="F1315" s="18"/>
      <x:c r="G1315" s="18" t="n">
        <x:v>-556.86</x:v>
      </x:c>
      <x:c r="H1315" s="18" t="n">
        <x:f>H1314+G1315</x:f>
        <x:v>9965322.059999982</x:v>
      </x:c>
    </x:row>
    <x:row r="1316">
      <x:c r="A1316" s="20" t="n">
        <x:v>46187</x:v>
      </x:c>
      <x:c r="B1316" s="21" t="str">
        <x:v>DP-2026-027148</x:v>
      </x:c>
      <x:c r="C1316" s="21" t="str">
        <x:v>ACH PAYMENT - Velasquez-Baxter - DP-2026-027148</x:v>
      </x:c>
      <x:c r="D1316" s="21" t="str">
        <x:v>Supplier payment</x:v>
      </x:c>
      <x:c r="E1316" s="18" t="n">
        <x:v>414.94</x:v>
      </x:c>
      <x:c r="F1316" s="18"/>
      <x:c r="G1316" s="18" t="n">
        <x:v>-414.94</x:v>
      </x:c>
      <x:c r="H1316" s="18" t="n">
        <x:f>H1315+G1316</x:f>
        <x:v>9964907.119999982</x:v>
      </x:c>
    </x:row>
    <x:row r="1317">
      <x:c r="A1317" s="20" t="n">
        <x:v>46187</x:v>
      </x:c>
      <x:c r="B1317" s="21" t="str">
        <x:v>DP-2026-027962</x:v>
      </x:c>
      <x:c r="C1317" s="21" t="str">
        <x:v>ACH PAYMENT - Chambers PLC - DP-2026-027962</x:v>
      </x:c>
      <x:c r="D1317" s="21" t="str">
        <x:v>Supplier payment</x:v>
      </x:c>
      <x:c r="E1317" s="18" t="n">
        <x:v>33.35</x:v>
      </x:c>
      <x:c r="F1317" s="18"/>
      <x:c r="G1317" s="18" t="n">
        <x:v>-33.35</x:v>
      </x:c>
      <x:c r="H1317" s="18" t="n">
        <x:f>H1316+G1317</x:f>
        <x:v>9964873.769999983</x:v>
      </x:c>
    </x:row>
    <x:row r="1318">
      <x:c r="A1318" s="20" t="n">
        <x:v>46187</x:v>
      </x:c>
      <x:c r="B1318" s="21" t="str">
        <x:v>DP-2026-028030</x:v>
      </x:c>
      <x:c r="C1318" s="21" t="str">
        <x:v>ACH PAYMENT - Hernandez, Melendez and Mcdowell - DP-2026-028030</x:v>
      </x:c>
      <x:c r="D1318" s="21" t="str">
        <x:v>Supplier payment</x:v>
      </x:c>
      <x:c r="E1318" s="18" t="n">
        <x:v>153.4</x:v>
      </x:c>
      <x:c r="F1318" s="18"/>
      <x:c r="G1318" s="18" t="n">
        <x:v>-153.4</x:v>
      </x:c>
      <x:c r="H1318" s="18" t="n">
        <x:f>H1317+G1318</x:f>
        <x:v>9964720.369999982</x:v>
      </x:c>
    </x:row>
    <x:row r="1319">
      <x:c r="A1319" s="20" t="n">
        <x:v>46187</x:v>
      </x:c>
      <x:c r="B1319" s="21" t="str">
        <x:v>DP-2026-028073</x:v>
      </x:c>
      <x:c r="C1319" s="21" t="str">
        <x:v>ACH PAYMENT - Patterson-Smith - DP-2026-028073</x:v>
      </x:c>
      <x:c r="D1319" s="21" t="str">
        <x:v>Supplier payment</x:v>
      </x:c>
      <x:c r="E1319" s="18" t="n">
        <x:v>394.32</x:v>
      </x:c>
      <x:c r="F1319" s="18"/>
      <x:c r="G1319" s="18" t="n">
        <x:v>-394.32</x:v>
      </x:c>
      <x:c r="H1319" s="18" t="n">
        <x:f>H1318+G1319</x:f>
        <x:v>9964326.049999982</x:v>
      </x:c>
    </x:row>
    <x:row r="1320">
      <x:c r="A1320" s="20" t="n">
        <x:v>46187</x:v>
      </x:c>
      <x:c r="B1320" s="21" t="str">
        <x:v>DP-2026-028084</x:v>
      </x:c>
      <x:c r="C1320" s="21" t="str">
        <x:v>WIRE TRANSFER PAYMENT - Rodriguez, Goodman and Lee - DP-2026-028084</x:v>
      </x:c>
      <x:c r="D1320" s="21" t="str">
        <x:v>Supplier payment</x:v>
      </x:c>
      <x:c r="E1320" s="18" t="n">
        <x:v>859.14</x:v>
      </x:c>
      <x:c r="F1320" s="18"/>
      <x:c r="G1320" s="18" t="n">
        <x:v>-859.14</x:v>
      </x:c>
      <x:c r="H1320" s="18" t="n">
        <x:f>H1319+G1320</x:f>
        <x:v>9963466.909999982</x:v>
      </x:c>
    </x:row>
    <x:row r="1321">
      <x:c r="A1321" s="20" t="n">
        <x:v>46187</x:v>
      </x:c>
      <x:c r="B1321" s="21" t="str">
        <x:v>DP-2026-028096</x:v>
      </x:c>
      <x:c r="C1321" s="21" t="str">
        <x:v>ACH PAYMENT - Garcia Group - DP-2026-028096</x:v>
      </x:c>
      <x:c r="D1321" s="21" t="str">
        <x:v>Supplier payment</x:v>
      </x:c>
      <x:c r="E1321" s="18" t="n">
        <x:v>2009.46</x:v>
      </x:c>
      <x:c r="F1321" s="18"/>
      <x:c r="G1321" s="18" t="n">
        <x:v>-2009.46</x:v>
      </x:c>
      <x:c r="H1321" s="18" t="n">
        <x:f>H1320+G1321</x:f>
        <x:v>9961457.44999998</x:v>
      </x:c>
    </x:row>
    <x:row r="1322">
      <x:c r="A1322" s="20" t="n">
        <x:v>46187</x:v>
      </x:c>
      <x:c r="B1322" s="21" t="str">
        <x:v>DP-2026-028101</x:v>
      </x:c>
      <x:c r="C1322" s="21" t="str">
        <x:v>WIRE TRANSFER PAYMENT - Keith PLC - DP-2026-028101</x:v>
      </x:c>
      <x:c r="D1322" s="21" t="str">
        <x:v>Supplier payment</x:v>
      </x:c>
      <x:c r="E1322" s="18" t="n">
        <x:v>924.36</x:v>
      </x:c>
      <x:c r="F1322" s="18"/>
      <x:c r="G1322" s="18" t="n">
        <x:v>-924.36</x:v>
      </x:c>
      <x:c r="H1322" s="18" t="n">
        <x:f>H1321+G1322</x:f>
        <x:v>9960533.089999981</x:v>
      </x:c>
    </x:row>
    <x:row r="1323">
      <x:c r="A1323" s="20" t="n">
        <x:v>46187</x:v>
      </x:c>
      <x:c r="B1323" s="21" t="str">
        <x:v>DP-2026-028119</x:v>
      </x:c>
      <x:c r="C1323" s="21" t="str">
        <x:v>WIRE TRANSFER PAYMENT - Brooks, Johnson and Olson - DP-2026-028119</x:v>
      </x:c>
      <x:c r="D1323" s="21" t="str">
        <x:v>Supplier payment</x:v>
      </x:c>
      <x:c r="E1323" s="18" t="n">
        <x:v>294.76</x:v>
      </x:c>
      <x:c r="F1323" s="18"/>
      <x:c r="G1323" s="18" t="n">
        <x:v>-294.76</x:v>
      </x:c>
      <x:c r="H1323" s="18" t="n">
        <x:f>H1322+G1323</x:f>
        <x:v>9960238.329999981</x:v>
      </x:c>
    </x:row>
    <x:row r="1324">
      <x:c r="A1324" s="20" t="n">
        <x:v>46187</x:v>
      </x:c>
      <x:c r="B1324" s="21" t="str">
        <x:v>DP-2026-028126</x:v>
      </x:c>
      <x:c r="C1324" s="21" t="str">
        <x:v>ACH PAYMENT - Brooks, Johnson and Olson - DP-2026-028126</x:v>
      </x:c>
      <x:c r="D1324" s="21" t="str">
        <x:v>Supplier payment</x:v>
      </x:c>
      <x:c r="E1324" s="18" t="n">
        <x:v>1482.6</x:v>
      </x:c>
      <x:c r="F1324" s="18"/>
      <x:c r="G1324" s="18" t="n">
        <x:v>-1482.6</x:v>
      </x:c>
      <x:c r="H1324" s="18" t="n">
        <x:f>H1323+G1324</x:f>
        <x:v>9958755.729999982</x:v>
      </x:c>
    </x:row>
    <x:row r="1325">
      <x:c r="A1325" s="20" t="n">
        <x:v>46187</x:v>
      </x:c>
      <x:c r="B1325" s="21" t="str">
        <x:v>DP-2026-028153</x:v>
      </x:c>
      <x:c r="C1325" s="21" t="str">
        <x:v>WIRE TRANSFER PAYMENT - Hester Ltd - DP-2026-028153</x:v>
      </x:c>
      <x:c r="D1325" s="21" t="str">
        <x:v>Supplier payment</x:v>
      </x:c>
      <x:c r="E1325" s="18" t="n">
        <x:v>306.36</x:v>
      </x:c>
      <x:c r="F1325" s="18"/>
      <x:c r="G1325" s="18" t="n">
        <x:v>-306.36</x:v>
      </x:c>
      <x:c r="H1325" s="18" t="n">
        <x:f>H1324+G1325</x:f>
        <x:v>9958449.369999982</x:v>
      </x:c>
    </x:row>
    <x:row r="1326">
      <x:c r="A1326" s="20" t="n">
        <x:v>46187</x:v>
      </x:c>
      <x:c r="B1326" s="21" t="str">
        <x:v>DP-2026-028186</x:v>
      </x:c>
      <x:c r="C1326" s="21" t="str">
        <x:v>ACH PAYMENT - Hernandez, Melendez and Mcdowell - DP-2026-028186</x:v>
      </x:c>
      <x:c r="D1326" s="21" t="str">
        <x:v>Supplier payment</x:v>
      </x:c>
      <x:c r="E1326" s="18" t="n">
        <x:v>596.11</x:v>
      </x:c>
      <x:c r="F1326" s="18"/>
      <x:c r="G1326" s="18" t="n">
        <x:v>-596.11</x:v>
      </x:c>
      <x:c r="H1326" s="18" t="n">
        <x:f>H1325+G1326</x:f>
        <x:v>9957853.259999983</x:v>
      </x:c>
    </x:row>
    <x:row r="1327">
      <x:c r="A1327" s="20" t="n">
        <x:v>46187</x:v>
      </x:c>
      <x:c r="B1327" s="21" t="str">
        <x:v>DP-2026-028208</x:v>
      </x:c>
      <x:c r="C1327" s="21" t="str">
        <x:v>ACH PAYMENT - Brooks, Johnson and Olson - DP-2026-028208</x:v>
      </x:c>
      <x:c r="D1327" s="21" t="str">
        <x:v>Supplier payment</x:v>
      </x:c>
      <x:c r="E1327" s="18" t="n">
        <x:v>694.77</x:v>
      </x:c>
      <x:c r="F1327" s="18"/>
      <x:c r="G1327" s="18" t="n">
        <x:v>-694.77</x:v>
      </x:c>
      <x:c r="H1327" s="18" t="n">
        <x:f>H1326+G1327</x:f>
        <x:v>9957158.489999983</x:v>
      </x:c>
    </x:row>
    <x:row r="1328">
      <x:c r="A1328" s="20" t="n">
        <x:v>46187</x:v>
      </x:c>
      <x:c r="B1328" s="21" t="str">
        <x:v>DP-2026-028238</x:v>
      </x:c>
      <x:c r="C1328" s="21" t="str">
        <x:v>ACH PAYMENT - Yang-Sandoval - DP-2026-028238</x:v>
      </x:c>
      <x:c r="D1328" s="21" t="str">
        <x:v>Supplier payment</x:v>
      </x:c>
      <x:c r="E1328" s="18" t="n">
        <x:v>314.27</x:v>
      </x:c>
      <x:c r="F1328" s="18"/>
      <x:c r="G1328" s="18" t="n">
        <x:v>-314.27</x:v>
      </x:c>
      <x:c r="H1328" s="18" t="n">
        <x:f>H1327+G1328</x:f>
        <x:v>9956844.219999984</x:v>
      </x:c>
    </x:row>
    <x:row r="1329">
      <x:c r="A1329" s="20" t="n">
        <x:v>46188</x:v>
      </x:c>
      <x:c r="B1329" s="21" t="str">
        <x:v>AR00005935</x:v>
      </x:c>
      <x:c r="C1329" s="21" t="str">
        <x:v>CUSTOMER DEPOSIT - Scott, Fowler and Green - CR-2026-005935</x:v>
      </x:c>
      <x:c r="D1329" s="21" t="str">
        <x:v>Customer deposit</x:v>
      </x:c>
      <x:c r="E1329" s="18"/>
      <x:c r="F1329" s="18" t="n">
        <x:v>6510.91</x:v>
      </x:c>
      <x:c r="G1329" s="18" t="n">
        <x:v>6510.91</x:v>
      </x:c>
      <x:c r="H1329" s="18" t="n">
        <x:f>H1328+G1329</x:f>
        <x:v>9963355.129999984</x:v>
      </x:c>
    </x:row>
    <x:row r="1330">
      <x:c r="A1330" s="20" t="n">
        <x:v>46188</x:v>
      </x:c>
      <x:c r="B1330" s="21" t="str">
        <x:v>AR00005941</x:v>
      </x:c>
      <x:c r="C1330" s="21" t="str">
        <x:v>CUSTOMER DEPOSIT - Bailey Ltd - CR-2026-005941</x:v>
      </x:c>
      <x:c r="D1330" s="21" t="str">
        <x:v>Customer deposit</x:v>
      </x:c>
      <x:c r="E1330" s="18"/>
      <x:c r="F1330" s="18" t="n">
        <x:v>39017.77</x:v>
      </x:c>
      <x:c r="G1330" s="18" t="n">
        <x:v>39017.77</x:v>
      </x:c>
      <x:c r="H1330" s="18" t="n">
        <x:f>H1329+G1330</x:f>
        <x:v>10002372.899999984</x:v>
      </x:c>
    </x:row>
    <x:row r="1331">
      <x:c r="A1331" s="20" t="n">
        <x:v>46188</x:v>
      </x:c>
      <x:c r="B1331" s="21" t="str">
        <x:v>AR00005953</x:v>
      </x:c>
      <x:c r="C1331" s="21" t="str">
        <x:v>CUSTOMER DEPOSIT - Mullen-Vincent - CR-2026-005953</x:v>
      </x:c>
      <x:c r="D1331" s="21" t="str">
        <x:v>Customer deposit</x:v>
      </x:c>
      <x:c r="E1331" s="18"/>
      <x:c r="F1331" s="18" t="n">
        <x:v>26886.75</x:v>
      </x:c>
      <x:c r="G1331" s="18" t="n">
        <x:v>26886.75</x:v>
      </x:c>
      <x:c r="H1331" s="18" t="n">
        <x:f>H1330+G1331</x:f>
        <x:v>10029259.649999984</x:v>
      </x:c>
    </x:row>
    <x:row r="1332">
      <x:c r="A1332" s="20" t="n">
        <x:v>46188</x:v>
      </x:c>
      <x:c r="B1332" s="21" t="str">
        <x:v>AR00005956</x:v>
      </x:c>
      <x:c r="C1332" s="21" t="str">
        <x:v>CUSTOMER DEPOSIT - Mahoney-Browning - CR-2026-005956</x:v>
      </x:c>
      <x:c r="D1332" s="21" t="str">
        <x:v>Customer deposit</x:v>
      </x:c>
      <x:c r="E1332" s="18"/>
      <x:c r="F1332" s="18" t="n">
        <x:v>142.15</x:v>
      </x:c>
      <x:c r="G1332" s="18" t="n">
        <x:v>142.15</x:v>
      </x:c>
      <x:c r="H1332" s="18" t="n">
        <x:f>H1331+G1332</x:f>
        <x:v>10029401.799999984</x:v>
      </x:c>
    </x:row>
    <x:row r="1333">
      <x:c r="A1333" s="20" t="n">
        <x:v>46188</x:v>
      </x:c>
      <x:c r="B1333" s="21" t="str">
        <x:v>AR00005972</x:v>
      </x:c>
      <x:c r="C1333" s="21" t="str">
        <x:v>CUSTOMER DEPOSIT - James, Gill and Campbell - CR-2026-005972</x:v>
      </x:c>
      <x:c r="D1333" s="21" t="str">
        <x:v>Customer deposit</x:v>
      </x:c>
      <x:c r="E1333" s="18"/>
      <x:c r="F1333" s="18" t="n">
        <x:v>4509.26</x:v>
      </x:c>
      <x:c r="G1333" s="18" t="n">
        <x:v>4509.26</x:v>
      </x:c>
      <x:c r="H1333" s="18" t="n">
        <x:f>H1332+G1333</x:f>
        <x:v>10033911.059999984</x:v>
      </x:c>
    </x:row>
    <x:row r="1334">
      <x:c r="A1334" s="20" t="n">
        <x:v>46188</x:v>
      </x:c>
      <x:c r="B1334" s="21" t="str">
        <x:v>AR00005979</x:v>
      </x:c>
      <x:c r="C1334" s="21" t="str">
        <x:v>CUSTOMER DEPOSIT - Krueger-Serrano - CR-2026-005979</x:v>
      </x:c>
      <x:c r="D1334" s="21" t="str">
        <x:v>Customer deposit</x:v>
      </x:c>
      <x:c r="E1334" s="18"/>
      <x:c r="F1334" s="18" t="n">
        <x:v>967.28</x:v>
      </x:c>
      <x:c r="G1334" s="18" t="n">
        <x:v>967.28</x:v>
      </x:c>
      <x:c r="H1334" s="18" t="n">
        <x:f>H1333+G1334</x:f>
        <x:v>10034878.339999983</x:v>
      </x:c>
    </x:row>
    <x:row r="1335">
      <x:c r="A1335" s="20" t="n">
        <x:v>46188</x:v>
      </x:c>
      <x:c r="B1335" s="21" t="str">
        <x:v>AR00006054</x:v>
      </x:c>
      <x:c r="C1335" s="21" t="str">
        <x:v>CUSTOMER DEPOSIT - Sullivan-Mcdonald - CR-2026-006054</x:v>
      </x:c>
      <x:c r="D1335" s="21" t="str">
        <x:v>Customer deposit</x:v>
      </x:c>
      <x:c r="E1335" s="18"/>
      <x:c r="F1335" s="18" t="n">
        <x:v>17569.92</x:v>
      </x:c>
      <x:c r="G1335" s="18" t="n">
        <x:v>17569.92</x:v>
      </x:c>
      <x:c r="H1335" s="18" t="n">
        <x:f>H1334+G1335</x:f>
        <x:v>10052448.259999983</x:v>
      </x:c>
    </x:row>
    <x:row r="1336">
      <x:c r="A1336" s="20" t="n">
        <x:v>46188</x:v>
      </x:c>
      <x:c r="B1336" s="21" t="str">
        <x:v>AR00006073</x:v>
      </x:c>
      <x:c r="C1336" s="21" t="str">
        <x:v>CUSTOMER DEPOSIT - Jones-Smith - CR-2026-006073</x:v>
      </x:c>
      <x:c r="D1336" s="21" t="str">
        <x:v>Customer deposit</x:v>
      </x:c>
      <x:c r="E1336" s="18"/>
      <x:c r="F1336" s="18" t="n">
        <x:v>4456.83</x:v>
      </x:c>
      <x:c r="G1336" s="18" t="n">
        <x:v>4456.83</x:v>
      </x:c>
      <x:c r="H1336" s="18" t="n">
        <x:f>H1335+G1336</x:f>
        <x:v>10056905.089999983</x:v>
      </x:c>
    </x:row>
    <x:row r="1337">
      <x:c r="A1337" s="20" t="n">
        <x:v>46188</x:v>
      </x:c>
      <x:c r="B1337" s="21" t="str">
        <x:v>AR00006079</x:v>
      </x:c>
      <x:c r="C1337" s="21" t="str">
        <x:v>CUSTOMER DEPOSIT - Moyer Ltd - CR-2026-006079</x:v>
      </x:c>
      <x:c r="D1337" s="21" t="str">
        <x:v>Customer deposit</x:v>
      </x:c>
      <x:c r="E1337" s="18"/>
      <x:c r="F1337" s="18" t="n">
        <x:v>20773.3</x:v>
      </x:c>
      <x:c r="G1337" s="18" t="n">
        <x:v>20773.3</x:v>
      </x:c>
      <x:c r="H1337" s="18" t="n">
        <x:f>H1336+G1337</x:f>
        <x:v>10077678.389999984</x:v>
      </x:c>
    </x:row>
    <x:row r="1338">
      <x:c r="A1338" s="20" t="n">
        <x:v>46188</x:v>
      </x:c>
      <x:c r="B1338" s="21" t="str">
        <x:v>AR00006104</x:v>
      </x:c>
      <x:c r="C1338" s="21" t="str">
        <x:v>CUSTOMER DEPOSIT - Meyer-Mcdonald - CR-2026-006104</x:v>
      </x:c>
      <x:c r="D1338" s="21" t="str">
        <x:v>Customer deposit</x:v>
      </x:c>
      <x:c r="E1338" s="18"/>
      <x:c r="F1338" s="18" t="n">
        <x:v>20520.26</x:v>
      </x:c>
      <x:c r="G1338" s="18" t="n">
        <x:v>20520.26</x:v>
      </x:c>
      <x:c r="H1338" s="18" t="n">
        <x:f>H1337+G1338</x:f>
        <x:v>10098198.649999984</x:v>
      </x:c>
    </x:row>
    <x:row r="1339">
      <x:c r="A1339" s="20" t="n">
        <x:v>46188</x:v>
      </x:c>
      <x:c r="B1339" s="21" t="str">
        <x:v>AR00006122</x:v>
      </x:c>
      <x:c r="C1339" s="21" t="str">
        <x:v>CUSTOMER DEPOSIT - Adams-Small - CR-2026-006122</x:v>
      </x:c>
      <x:c r="D1339" s="21" t="str">
        <x:v>Customer deposit</x:v>
      </x:c>
      <x:c r="E1339" s="18"/>
      <x:c r="F1339" s="18" t="n">
        <x:v>12762.33</x:v>
      </x:c>
      <x:c r="G1339" s="18" t="n">
        <x:v>12762.33</x:v>
      </x:c>
      <x:c r="H1339" s="18" t="n">
        <x:f>H1338+G1339</x:f>
        <x:v>10110960.979999984</x:v>
      </x:c>
    </x:row>
    <x:row r="1340">
      <x:c r="A1340" s="20" t="n">
        <x:v>46188</x:v>
      </x:c>
      <x:c r="B1340" s="21" t="str">
        <x:v>CHK0027136</x:v>
      </x:c>
      <x:c r="C1340" s="21" t="str">
        <x:v>CHECK PAYMENT - Garcia Group - DP-2026-027136</x:v>
      </x:c>
      <x:c r="D1340" s="21" t="str">
        <x:v>Supplier payment</x:v>
      </x:c>
      <x:c r="E1340" s="18" t="n">
        <x:v>679.73</x:v>
      </x:c>
      <x:c r="F1340" s="18"/>
      <x:c r="G1340" s="18" t="n">
        <x:v>-679.73</x:v>
      </x:c>
      <x:c r="H1340" s="18" t="n">
        <x:f>H1339+G1340</x:f>
        <x:v>10110281.249999983</x:v>
      </x:c>
    </x:row>
    <x:row r="1341">
      <x:c r="A1341" s="20" t="n">
        <x:v>46188</x:v>
      </x:c>
      <x:c r="B1341" s="21" t="str">
        <x:v>CHK0027138</x:v>
      </x:c>
      <x:c r="C1341" s="21" t="str">
        <x:v>CHECK PAYMENT - Lyons-Sheppard - DP-2026-027138</x:v>
      </x:c>
      <x:c r="D1341" s="21" t="str">
        <x:v>Supplier payment</x:v>
      </x:c>
      <x:c r="E1341" s="18" t="n">
        <x:v>622.64</x:v>
      </x:c>
      <x:c r="F1341" s="18"/>
      <x:c r="G1341" s="18" t="n">
        <x:v>-622.64</x:v>
      </x:c>
      <x:c r="H1341" s="18" t="n">
        <x:f>H1340+G1341</x:f>
        <x:v>10109658.609999983</x:v>
      </x:c>
    </x:row>
    <x:row r="1342">
      <x:c r="A1342" s="20" t="n">
        <x:v>46188</x:v>
      </x:c>
      <x:c r="B1342" s="21" t="str">
        <x:v>CHK0027976</x:v>
      </x:c>
      <x:c r="C1342" s="21" t="str">
        <x:v>CHECK PAYMENT - Peters, Terry and Zimmerman - DP-2026-027976</x:v>
      </x:c>
      <x:c r="D1342" s="21" t="str">
        <x:v>Supplier payment</x:v>
      </x:c>
      <x:c r="E1342" s="18" t="n">
        <x:v>192.69</x:v>
      </x:c>
      <x:c r="F1342" s="18"/>
      <x:c r="G1342" s="18" t="n">
        <x:v>-192.69</x:v>
      </x:c>
      <x:c r="H1342" s="18" t="n">
        <x:f>H1341+G1342</x:f>
        <x:v>10109465.919999983</x:v>
      </x:c>
    </x:row>
    <x:row r="1343">
      <x:c r="A1343" s="20" t="n">
        <x:v>46188</x:v>
      </x:c>
      <x:c r="B1343" s="21" t="str">
        <x:v>CHK0027982</x:v>
      </x:c>
      <x:c r="C1343" s="21" t="str">
        <x:v>CHECK PAYMENT - Rodriguez, Myers and Grimes - DP-2026-027982</x:v>
      </x:c>
      <x:c r="D1343" s="21" t="str">
        <x:v>Supplier payment</x:v>
      </x:c>
      <x:c r="E1343" s="18" t="n">
        <x:v>360.68</x:v>
      </x:c>
      <x:c r="F1343" s="18"/>
      <x:c r="G1343" s="18" t="n">
        <x:v>-360.68</x:v>
      </x:c>
      <x:c r="H1343" s="18" t="n">
        <x:f>H1342+G1343</x:f>
        <x:v>10109105.239999983</x:v>
      </x:c>
    </x:row>
    <x:row r="1344">
      <x:c r="A1344" s="20" t="n">
        <x:v>46188</x:v>
      </x:c>
      <x:c r="B1344" s="21" t="str">
        <x:v>CHK0028000</x:v>
      </x:c>
      <x:c r="C1344" s="21" t="str">
        <x:v>CHECK PAYMENT - Goodwin, Walker and Scott - DP-2026-028000</x:v>
      </x:c>
      <x:c r="D1344" s="21" t="str">
        <x:v>Supplier payment</x:v>
      </x:c>
      <x:c r="E1344" s="18" t="n">
        <x:v>915.68</x:v>
      </x:c>
      <x:c r="F1344" s="18"/>
      <x:c r="G1344" s="18" t="n">
        <x:v>-915.68</x:v>
      </x:c>
      <x:c r="H1344" s="18" t="n">
        <x:f>H1343+G1344</x:f>
        <x:v>10108189.559999984</x:v>
      </x:c>
    </x:row>
    <x:row r="1345">
      <x:c r="A1345" s="20" t="n">
        <x:v>46188</x:v>
      </x:c>
      <x:c r="B1345" s="21" t="str">
        <x:v>CHK0028028</x:v>
      </x:c>
      <x:c r="C1345" s="21" t="str">
        <x:v>CHECK PAYMENT - Bell, Pruitt and David - DP-2026-028028</x:v>
      </x:c>
      <x:c r="D1345" s="21" t="str">
        <x:v>Supplier payment</x:v>
      </x:c>
      <x:c r="E1345" s="18" t="n">
        <x:v>271.74</x:v>
      </x:c>
      <x:c r="F1345" s="18"/>
      <x:c r="G1345" s="18" t="n">
        <x:v>-271.74</x:v>
      </x:c>
      <x:c r="H1345" s="18" t="n">
        <x:f>H1344+G1345</x:f>
        <x:v>10107917.819999984</x:v>
      </x:c>
    </x:row>
    <x:row r="1346">
      <x:c r="A1346" s="20" t="n">
        <x:v>46188</x:v>
      </x:c>
      <x:c r="B1346" s="21" t="str">
        <x:v>CHK0028029</x:v>
      </x:c>
      <x:c r="C1346" s="21" t="str">
        <x:v>CHECK PAYMENT - Villarreal, Mcdonald and Scott - DP-2026-028029</x:v>
      </x:c>
      <x:c r="D1346" s="21" t="str">
        <x:v>Supplier payment</x:v>
      </x:c>
      <x:c r="E1346" s="18" t="n">
        <x:v>727.43</x:v>
      </x:c>
      <x:c r="F1346" s="18"/>
      <x:c r="G1346" s="18" t="n">
        <x:v>-727.43</x:v>
      </x:c>
      <x:c r="H1346" s="18" t="n">
        <x:f>H1345+G1346</x:f>
        <x:v>10107190.389999984</x:v>
      </x:c>
    </x:row>
    <x:row r="1347">
      <x:c r="A1347" s="20" t="n">
        <x:v>46188</x:v>
      </x:c>
      <x:c r="B1347" s="21" t="str">
        <x:v>CHK0028116</x:v>
      </x:c>
      <x:c r="C1347" s="21" t="str">
        <x:v>CHECK PAYMENT - Brooks, Johnson and Olson - DP-2026-028116</x:v>
      </x:c>
      <x:c r="D1347" s="21" t="str">
        <x:v>Supplier payment</x:v>
      </x:c>
      <x:c r="E1347" s="18" t="n">
        <x:v>993.56</x:v>
      </x:c>
      <x:c r="F1347" s="18"/>
      <x:c r="G1347" s="18" t="n">
        <x:v>-993.56</x:v>
      </x:c>
      <x:c r="H1347" s="18" t="n">
        <x:f>H1346+G1347</x:f>
        <x:v>10106196.829999983</x:v>
      </x:c>
    </x:row>
    <x:row r="1348">
      <x:c r="A1348" s="20" t="n">
        <x:v>46188</x:v>
      </x:c>
      <x:c r="B1348" s="21" t="str">
        <x:v>CHK0028118</x:v>
      </x:c>
      <x:c r="C1348" s="21" t="str">
        <x:v>CHECK PAYMENT - Duran, Mccarthy and Myers - DP-2026-028118</x:v>
      </x:c>
      <x:c r="D1348" s="21" t="str">
        <x:v>Supplier payment</x:v>
      </x:c>
      <x:c r="E1348" s="18" t="n">
        <x:v>19322.01</x:v>
      </x:c>
      <x:c r="F1348" s="18"/>
      <x:c r="G1348" s="18" t="n">
        <x:v>-19322.01</x:v>
      </x:c>
      <x:c r="H1348" s="18" t="n">
        <x:f>H1347+G1348</x:f>
        <x:v>10086874.819999984</x:v>
      </x:c>
    </x:row>
    <x:row r="1349">
      <x:c r="A1349" s="20" t="n">
        <x:v>46188</x:v>
      </x:c>
      <x:c r="B1349" s="21" t="str">
        <x:v>CHK0028145</x:v>
      </x:c>
      <x:c r="C1349" s="21" t="str">
        <x:v>CHECK PAYMENT - Hale-Hart - DP-2026-028145</x:v>
      </x:c>
      <x:c r="D1349" s="21" t="str">
        <x:v>Supplier payment</x:v>
      </x:c>
      <x:c r="E1349" s="18" t="n">
        <x:v>673.46</x:v>
      </x:c>
      <x:c r="F1349" s="18"/>
      <x:c r="G1349" s="18" t="n">
        <x:v>-673.46</x:v>
      </x:c>
      <x:c r="H1349" s="18" t="n">
        <x:f>H1348+G1349</x:f>
        <x:v>10086201.359999983</x:v>
      </x:c>
    </x:row>
    <x:row r="1350">
      <x:c r="A1350" s="20" t="n">
        <x:v>46188</x:v>
      </x:c>
      <x:c r="B1350" s="21" t="str">
        <x:v>CHK0028160</x:v>
      </x:c>
      <x:c r="C1350" s="21" t="str">
        <x:v>CHECK PAYMENT - Harris and Sons - DP-2026-028160</x:v>
      </x:c>
      <x:c r="D1350" s="21" t="str">
        <x:v>Supplier payment</x:v>
      </x:c>
      <x:c r="E1350" s="18" t="n">
        <x:v>1031.05</x:v>
      </x:c>
      <x:c r="F1350" s="18"/>
      <x:c r="G1350" s="18" t="n">
        <x:v>-1031.05</x:v>
      </x:c>
      <x:c r="H1350" s="18" t="n">
        <x:f>H1349+G1350</x:f>
        <x:v>10085170.309999982</x:v>
      </x:c>
    </x:row>
    <x:row r="1351">
      <x:c r="A1351" s="20" t="n">
        <x:v>46188</x:v>
      </x:c>
      <x:c r="B1351" s="21" t="str">
        <x:v>CHK0028230</x:v>
      </x:c>
      <x:c r="C1351" s="21" t="str">
        <x:v>CHECK PAYMENT - Hester Ltd - DP-2026-028230</x:v>
      </x:c>
      <x:c r="D1351" s="21" t="str">
        <x:v>Supplier payment</x:v>
      </x:c>
      <x:c r="E1351" s="18" t="n">
        <x:v>2146.43</x:v>
      </x:c>
      <x:c r="F1351" s="18"/>
      <x:c r="G1351" s="18" t="n">
        <x:v>-2146.43</x:v>
      </x:c>
      <x:c r="H1351" s="18" t="n">
        <x:f>H1350+G1351</x:f>
        <x:v>10083023.879999982</x:v>
      </x:c>
    </x:row>
    <x:row r="1352">
      <x:c r="A1352" s="20" t="n">
        <x:v>46188</x:v>
      </x:c>
      <x:c r="B1352" s="21" t="str">
        <x:v>CHK0028232</x:v>
      </x:c>
      <x:c r="C1352" s="21" t="str">
        <x:v>CHECK PAYMENT - Murphy, Williams and Sanders - DP-2026-028232</x:v>
      </x:c>
      <x:c r="D1352" s="21" t="str">
        <x:v>Supplier payment</x:v>
      </x:c>
      <x:c r="E1352" s="18" t="n">
        <x:v>1421.28</x:v>
      </x:c>
      <x:c r="F1352" s="18"/>
      <x:c r="G1352" s="18" t="n">
        <x:v>-1421.28</x:v>
      </x:c>
      <x:c r="H1352" s="18" t="n">
        <x:f>H1351+G1352</x:f>
        <x:v>10081602.599999983</x:v>
      </x:c>
    </x:row>
    <x:row r="1353">
      <x:c r="A1353" s="20" t="n">
        <x:v>46188</x:v>
      </x:c>
      <x:c r="B1353" s="21" t="str">
        <x:v>CHK0028235</x:v>
      </x:c>
      <x:c r="C1353" s="21" t="str">
        <x:v>CHECK PAYMENT - Day PLC - DP-2026-028235</x:v>
      </x:c>
      <x:c r="D1353" s="21" t="str">
        <x:v>Supplier payment</x:v>
      </x:c>
      <x:c r="E1353" s="18" t="n">
        <x:v>699.51</x:v>
      </x:c>
      <x:c r="F1353" s="18"/>
      <x:c r="G1353" s="18" t="n">
        <x:v>-699.51</x:v>
      </x:c>
      <x:c r="H1353" s="18" t="n">
        <x:f>H1352+G1353</x:f>
        <x:v>10080903.089999983</x:v>
      </x:c>
    </x:row>
    <x:row r="1354">
      <x:c r="A1354" s="20" t="n">
        <x:v>46188</x:v>
      </x:c>
      <x:c r="B1354" s="21" t="str">
        <x:v>CHK0028269</x:v>
      </x:c>
      <x:c r="C1354" s="21" t="str">
        <x:v>CHECK PAYMENT - Anderson-Lara - DP-2026-028269</x:v>
      </x:c>
      <x:c r="D1354" s="21" t="str">
        <x:v>Supplier payment</x:v>
      </x:c>
      <x:c r="E1354" s="18" t="n">
        <x:v>141.28</x:v>
      </x:c>
      <x:c r="F1354" s="18"/>
      <x:c r="G1354" s="18" t="n">
        <x:v>-141.28</x:v>
      </x:c>
      <x:c r="H1354" s="18" t="n">
        <x:f>H1353+G1354</x:f>
        <x:v>10080761.809999984</x:v>
      </x:c>
    </x:row>
    <x:row r="1355">
      <x:c r="A1355" s="20" t="n">
        <x:v>46188</x:v>
      </x:c>
      <x:c r="B1355" s="21" t="str">
        <x:v>CHK0028271</x:v>
      </x:c>
      <x:c r="C1355" s="21" t="str">
        <x:v>CHECK PAYMENT - Collins-Johnson - DP-2026-028271</x:v>
      </x:c>
      <x:c r="D1355" s="21" t="str">
        <x:v>Supplier payment</x:v>
      </x:c>
      <x:c r="E1355" s="18" t="n">
        <x:v>916.04</x:v>
      </x:c>
      <x:c r="F1355" s="18"/>
      <x:c r="G1355" s="18" t="n">
        <x:v>-916.04</x:v>
      </x:c>
      <x:c r="H1355" s="18" t="n">
        <x:f>H1354+G1355</x:f>
        <x:v>10079845.769999985</x:v>
      </x:c>
    </x:row>
    <x:row r="1356">
      <x:c r="A1356" s="20" t="n">
        <x:v>46188</x:v>
      </x:c>
      <x:c r="B1356" s="21" t="str">
        <x:v>DEP00005922</x:v>
      </x:c>
      <x:c r="C1356" s="21" t="str">
        <x:v>CUSTOMER DEPOSIT - Koch-Ali - CR-2026-005922</x:v>
      </x:c>
      <x:c r="D1356" s="21" t="str">
        <x:v>Customer deposit</x:v>
      </x:c>
      <x:c r="E1356" s="18"/>
      <x:c r="F1356" s="18" t="n">
        <x:v>3547.21</x:v>
      </x:c>
      <x:c r="G1356" s="18" t="n">
        <x:v>3547.21</x:v>
      </x:c>
      <x:c r="H1356" s="18" t="n">
        <x:f>H1355+G1356</x:f>
        <x:v>10083392.979999986</x:v>
      </x:c>
    </x:row>
    <x:row r="1357">
      <x:c r="A1357" s="20" t="n">
        <x:v>46188</x:v>
      </x:c>
      <x:c r="B1357" s="21" t="str">
        <x:v>DP-2026-025618</x:v>
      </x:c>
      <x:c r="C1357" s="21" t="str">
        <x:v>ACH PAYMENT - Henderson, Bennett and Pena - DP-2026-025618</x:v>
      </x:c>
      <x:c r="D1357" s="21" t="str">
        <x:v>Supplier payment</x:v>
      </x:c>
      <x:c r="E1357" s="18" t="n">
        <x:v>102.85</x:v>
      </x:c>
      <x:c r="F1357" s="18"/>
      <x:c r="G1357" s="18" t="n">
        <x:v>-102.85</x:v>
      </x:c>
      <x:c r="H1357" s="18" t="n">
        <x:f>H1356+G1357</x:f>
        <x:v>10083290.129999986</x:v>
      </x:c>
    </x:row>
    <x:row r="1358">
      <x:c r="A1358" s="20" t="n">
        <x:v>46188</x:v>
      </x:c>
      <x:c r="B1358" s="21" t="str">
        <x:v>DP-2026-027139</x:v>
      </x:c>
      <x:c r="C1358" s="21" t="str">
        <x:v>ACH PAYMENT - Peters, Terry and Zimmerman - DP-2026-027139</x:v>
      </x:c>
      <x:c r="D1358" s="21" t="str">
        <x:v>Supplier payment</x:v>
      </x:c>
      <x:c r="E1358" s="18" t="n">
        <x:v>377.37</x:v>
      </x:c>
      <x:c r="F1358" s="18"/>
      <x:c r="G1358" s="18" t="n">
        <x:v>-377.37</x:v>
      </x:c>
      <x:c r="H1358" s="18" t="n">
        <x:f>H1357+G1358</x:f>
        <x:v>10082912.759999987</x:v>
      </x:c>
    </x:row>
    <x:row r="1359">
      <x:c r="A1359" s="20" t="n">
        <x:v>46188</x:v>
      </x:c>
      <x:c r="B1359" s="21" t="str">
        <x:v>DP-2026-027146</x:v>
      </x:c>
      <x:c r="C1359" s="21" t="str">
        <x:v>ACH PAYMENT - Peters, Terry and Zimmerman - DP-2026-027146</x:v>
      </x:c>
      <x:c r="D1359" s="21" t="str">
        <x:v>Supplier payment</x:v>
      </x:c>
      <x:c r="E1359" s="18" t="n">
        <x:v>1275.66</x:v>
      </x:c>
      <x:c r="F1359" s="18"/>
      <x:c r="G1359" s="18" t="n">
        <x:v>-1275.66</x:v>
      </x:c>
      <x:c r="H1359" s="18" t="n">
        <x:f>H1358+G1359</x:f>
        <x:v>10081637.099999987</x:v>
      </x:c>
    </x:row>
    <x:row r="1360">
      <x:c r="A1360" s="20" t="n">
        <x:v>46188</x:v>
      </x:c>
      <x:c r="B1360" s="21" t="str">
        <x:v>DP-2026-027971</x:v>
      </x:c>
      <x:c r="C1360" s="21" t="str">
        <x:v>ACH PAYMENT - Velasquez-Baxter - DP-2026-027971</x:v>
      </x:c>
      <x:c r="D1360" s="21" t="str">
        <x:v>Supplier payment</x:v>
      </x:c>
      <x:c r="E1360" s="18" t="n">
        <x:v>43.84</x:v>
      </x:c>
      <x:c r="F1360" s="18"/>
      <x:c r="G1360" s="18" t="n">
        <x:v>-43.84</x:v>
      </x:c>
      <x:c r="H1360" s="18" t="n">
        <x:f>H1359+G1360</x:f>
        <x:v>10081593.259999987</x:v>
      </x:c>
    </x:row>
    <x:row r="1361">
      <x:c r="A1361" s="20" t="n">
        <x:v>46188</x:v>
      </x:c>
      <x:c r="B1361" s="21" t="str">
        <x:v>DP-2026-027979</x:v>
      </x:c>
      <x:c r="C1361" s="21" t="str">
        <x:v>ACH PAYMENT - Thomas LLC - DP-2026-027979</x:v>
      </x:c>
      <x:c r="D1361" s="21" t="str">
        <x:v>Supplier payment</x:v>
      </x:c>
      <x:c r="E1361" s="18" t="n">
        <x:v>355.97</x:v>
      </x:c>
      <x:c r="F1361" s="18"/>
      <x:c r="G1361" s="18" t="n">
        <x:v>-355.97</x:v>
      </x:c>
      <x:c r="H1361" s="18" t="n">
        <x:f>H1360+G1361</x:f>
        <x:v>10081237.289999986</x:v>
      </x:c>
    </x:row>
    <x:row r="1362">
      <x:c r="A1362" s="20" t="n">
        <x:v>46188</x:v>
      </x:c>
      <x:c r="B1362" s="21" t="str">
        <x:v>DP-2026-028010</x:v>
      </x:c>
      <x:c r="C1362" s="21" t="str">
        <x:v>ACH PAYMENT - Collins-Johnson - DP-2026-028010</x:v>
      </x:c>
      <x:c r="D1362" s="21" t="str">
        <x:v>Supplier payment</x:v>
      </x:c>
      <x:c r="E1362" s="18" t="n">
        <x:v>754.85</x:v>
      </x:c>
      <x:c r="F1362" s="18"/>
      <x:c r="G1362" s="18" t="n">
        <x:v>-754.85</x:v>
      </x:c>
      <x:c r="H1362" s="18" t="n">
        <x:f>H1361+G1362</x:f>
        <x:v>10080482.439999986</x:v>
      </x:c>
    </x:row>
    <x:row r="1363">
      <x:c r="A1363" s="20" t="n">
        <x:v>46188</x:v>
      </x:c>
      <x:c r="B1363" s="21" t="str">
        <x:v>DP-2026-028015</x:v>
      </x:c>
      <x:c r="C1363" s="21" t="str">
        <x:v>WIRE TRANSFER PAYMENT - Hester Ltd - DP-2026-028015</x:v>
      </x:c>
      <x:c r="D1363" s="21" t="str">
        <x:v>Supplier payment</x:v>
      </x:c>
      <x:c r="E1363" s="18" t="n">
        <x:v>104.28</x:v>
      </x:c>
      <x:c r="F1363" s="18"/>
      <x:c r="G1363" s="18" t="n">
        <x:v>-104.28</x:v>
      </x:c>
      <x:c r="H1363" s="18" t="n">
        <x:f>H1362+G1363</x:f>
        <x:v>10080378.159999987</x:v>
      </x:c>
    </x:row>
    <x:row r="1364">
      <x:c r="A1364" s="20" t="n">
        <x:v>46188</x:v>
      </x:c>
      <x:c r="B1364" s="21" t="str">
        <x:v>DP-2026-028022</x:v>
      </x:c>
      <x:c r="C1364" s="21" t="str">
        <x:v>ACH PAYMENT - Velasquez-Baxter - DP-2026-028022</x:v>
      </x:c>
      <x:c r="D1364" s="21" t="str">
        <x:v>Supplier payment</x:v>
      </x:c>
      <x:c r="E1364" s="18" t="n">
        <x:v>901.2</x:v>
      </x:c>
      <x:c r="F1364" s="18"/>
      <x:c r="G1364" s="18" t="n">
        <x:v>-901.2</x:v>
      </x:c>
      <x:c r="H1364" s="18" t="n">
        <x:f>H1363+G1364</x:f>
        <x:v>10079476.959999988</x:v>
      </x:c>
    </x:row>
    <x:row r="1365">
      <x:c r="A1365" s="20" t="n">
        <x:v>46188</x:v>
      </x:c>
      <x:c r="B1365" s="21" t="str">
        <x:v>DP-2026-028042</x:v>
      </x:c>
      <x:c r="C1365" s="21" t="str">
        <x:v>ACH PAYMENT - Nguyen-Davis - DP-2026-028042</x:v>
      </x:c>
      <x:c r="D1365" s="21" t="str">
        <x:v>Supplier payment</x:v>
      </x:c>
      <x:c r="E1365" s="18" t="n">
        <x:v>230.28</x:v>
      </x:c>
      <x:c r="F1365" s="18"/>
      <x:c r="G1365" s="18" t="n">
        <x:v>-230.28</x:v>
      </x:c>
      <x:c r="H1365" s="18" t="n">
        <x:f>H1364+G1365</x:f>
        <x:v>10079246.679999989</x:v>
      </x:c>
    </x:row>
    <x:row r="1366">
      <x:c r="A1366" s="20" t="n">
        <x:v>46188</x:v>
      </x:c>
      <x:c r="B1366" s="21" t="str">
        <x:v>DP-2026-028050</x:v>
      </x:c>
      <x:c r="C1366" s="21" t="str">
        <x:v>ACH PAYMENT - Lucas, Green and Richardson - DP-2026-028050</x:v>
      </x:c>
      <x:c r="D1366" s="21" t="str">
        <x:v>Supplier payment</x:v>
      </x:c>
      <x:c r="E1366" s="18" t="n">
        <x:v>759.44</x:v>
      </x:c>
      <x:c r="F1366" s="18"/>
      <x:c r="G1366" s="18" t="n">
        <x:v>-759.44</x:v>
      </x:c>
      <x:c r="H1366" s="18" t="n">
        <x:f>H1365+G1366</x:f>
        <x:v>10078487.239999989</x:v>
      </x:c>
    </x:row>
    <x:row r="1367">
      <x:c r="A1367" s="20" t="n">
        <x:v>46188</x:v>
      </x:c>
      <x:c r="B1367" s="21" t="str">
        <x:v>DP-2026-028068</x:v>
      </x:c>
      <x:c r="C1367" s="21" t="str">
        <x:v>WIRE TRANSFER PAYMENT - Peters, Terry and Zimmerman - DP-2026-028068</x:v>
      </x:c>
      <x:c r="D1367" s="21" t="str">
        <x:v>Supplier payment</x:v>
      </x:c>
      <x:c r="E1367" s="18" t="n">
        <x:v>495.22</x:v>
      </x:c>
      <x:c r="F1367" s="18"/>
      <x:c r="G1367" s="18" t="n">
        <x:v>-495.22</x:v>
      </x:c>
      <x:c r="H1367" s="18" t="n">
        <x:f>H1366+G1367</x:f>
        <x:v>10077992.019999988</x:v>
      </x:c>
    </x:row>
    <x:row r="1368">
      <x:c r="A1368" s="20" t="n">
        <x:v>46188</x:v>
      </x:c>
      <x:c r="B1368" s="21" t="str">
        <x:v>DP-2026-028070</x:v>
      </x:c>
      <x:c r="C1368" s="21" t="str">
        <x:v>ACH PAYMENT - Gomez PLC - DP-2026-028070</x:v>
      </x:c>
      <x:c r="D1368" s="21" t="str">
        <x:v>Supplier payment</x:v>
      </x:c>
      <x:c r="E1368" s="18" t="n">
        <x:v>1794.41</x:v>
      </x:c>
      <x:c r="F1368" s="18"/>
      <x:c r="G1368" s="18" t="n">
        <x:v>-1794.41</x:v>
      </x:c>
      <x:c r="H1368" s="18" t="n">
        <x:f>H1367+G1368</x:f>
        <x:v>10076197.609999988</x:v>
      </x:c>
    </x:row>
    <x:row r="1369">
      <x:c r="A1369" s="20" t="n">
        <x:v>46188</x:v>
      </x:c>
      <x:c r="B1369" s="21" t="str">
        <x:v>DP-2026-028077</x:v>
      </x:c>
      <x:c r="C1369" s="21" t="str">
        <x:v>ACH PAYMENT - Velasquez-Baxter - DP-2026-028077</x:v>
      </x:c>
      <x:c r="D1369" s="21" t="str">
        <x:v>Supplier payment</x:v>
      </x:c>
      <x:c r="E1369" s="18" t="n">
        <x:v>8.44</x:v>
      </x:c>
      <x:c r="F1369" s="18"/>
      <x:c r="G1369" s="18" t="n">
        <x:v>-8.44</x:v>
      </x:c>
      <x:c r="H1369" s="18" t="n">
        <x:f>H1368+G1369</x:f>
        <x:v>10076189.169999989</x:v>
      </x:c>
    </x:row>
    <x:row r="1370">
      <x:c r="A1370" s="20" t="n">
        <x:v>46188</x:v>
      </x:c>
      <x:c r="B1370" s="21" t="str">
        <x:v>DP-2026-028108</x:v>
      </x:c>
      <x:c r="C1370" s="21" t="str">
        <x:v>ACH PAYMENT - Watson, Mitchell and Chen - DP-2026-028108</x:v>
      </x:c>
      <x:c r="D1370" s="21" t="str">
        <x:v>Supplier payment</x:v>
      </x:c>
      <x:c r="E1370" s="18" t="n">
        <x:v>153.22</x:v>
      </x:c>
      <x:c r="F1370" s="18"/>
      <x:c r="G1370" s="18" t="n">
        <x:v>-153.22</x:v>
      </x:c>
      <x:c r="H1370" s="18" t="n">
        <x:f>H1369+G1370</x:f>
        <x:v>10076035.949999988</x:v>
      </x:c>
    </x:row>
    <x:row r="1371">
      <x:c r="A1371" s="20" t="n">
        <x:v>46188</x:v>
      </x:c>
      <x:c r="B1371" s="21" t="str">
        <x:v>DP-2026-028109</x:v>
      </x:c>
      <x:c r="C1371" s="21" t="str">
        <x:v>ACH PAYMENT - Pena, Clayton and Ward - DP-2026-028109</x:v>
      </x:c>
      <x:c r="D1371" s="21" t="str">
        <x:v>Supplier payment</x:v>
      </x:c>
      <x:c r="E1371" s="18" t="n">
        <x:v>45.37</x:v>
      </x:c>
      <x:c r="F1371" s="18"/>
      <x:c r="G1371" s="18" t="n">
        <x:v>-45.37</x:v>
      </x:c>
      <x:c r="H1371" s="18" t="n">
        <x:f>H1370+G1371</x:f>
        <x:v>10075990.579999989</x:v>
      </x:c>
    </x:row>
    <x:row r="1372">
      <x:c r="A1372" s="20" t="n">
        <x:v>46188</x:v>
      </x:c>
      <x:c r="B1372" s="21" t="str">
        <x:v>DP-2026-028133</x:v>
      </x:c>
      <x:c r="C1372" s="21" t="str">
        <x:v>ACH PAYMENT - Hernandez PLC - DP-2026-028133</x:v>
      </x:c>
      <x:c r="D1372" s="21" t="str">
        <x:v>Supplier payment</x:v>
      </x:c>
      <x:c r="E1372" s="18" t="n">
        <x:v>8.41</x:v>
      </x:c>
      <x:c r="F1372" s="18"/>
      <x:c r="G1372" s="18" t="n">
        <x:v>-8.41</x:v>
      </x:c>
      <x:c r="H1372" s="18" t="n">
        <x:f>H1371+G1372</x:f>
        <x:v>10075982.169999989</x:v>
      </x:c>
    </x:row>
    <x:row r="1373">
      <x:c r="A1373" s="20" t="n">
        <x:v>46188</x:v>
      </x:c>
      <x:c r="B1373" s="21" t="str">
        <x:v>DP-2026-028148</x:v>
      </x:c>
      <x:c r="C1373" s="21" t="str">
        <x:v>ACH PAYMENT - Lindsey and Sons - DP-2026-028148</x:v>
      </x:c>
      <x:c r="D1373" s="21" t="str">
        <x:v>Supplier payment</x:v>
      </x:c>
      <x:c r="E1373" s="18" t="n">
        <x:v>83.7</x:v>
      </x:c>
      <x:c r="F1373" s="18"/>
      <x:c r="G1373" s="18" t="n">
        <x:v>-83.7</x:v>
      </x:c>
      <x:c r="H1373" s="18" t="n">
        <x:f>H1372+G1373</x:f>
        <x:v>10075898.46999999</x:v>
      </x:c>
    </x:row>
    <x:row r="1374">
      <x:c r="A1374" s="20" t="n">
        <x:v>46188</x:v>
      </x:c>
      <x:c r="B1374" s="21" t="str">
        <x:v>DP-2026-028162</x:v>
      </x:c>
      <x:c r="C1374" s="21" t="str">
        <x:v>ACH PAYMENT - Nash LLC - DP-2026-028162</x:v>
      </x:c>
      <x:c r="D1374" s="21" t="str">
        <x:v>Supplier payment</x:v>
      </x:c>
      <x:c r="E1374" s="18" t="n">
        <x:v>71.04</x:v>
      </x:c>
      <x:c r="F1374" s="18"/>
      <x:c r="G1374" s="18" t="n">
        <x:v>-71.04</x:v>
      </x:c>
      <x:c r="H1374" s="18" t="n">
        <x:f>H1373+G1374</x:f>
        <x:v>10075827.42999999</x:v>
      </x:c>
    </x:row>
    <x:row r="1375">
      <x:c r="A1375" s="20" t="n">
        <x:v>46188</x:v>
      </x:c>
      <x:c r="B1375" s="21" t="str">
        <x:v>DP-2026-028189</x:v>
      </x:c>
      <x:c r="C1375" s="21" t="str">
        <x:v>ACH PAYMENT - Evans PLC - DP-2026-028189</x:v>
      </x:c>
      <x:c r="D1375" s="21" t="str">
        <x:v>Supplier payment</x:v>
      </x:c>
      <x:c r="E1375" s="18" t="n">
        <x:v>34.44</x:v>
      </x:c>
      <x:c r="F1375" s="18"/>
      <x:c r="G1375" s="18" t="n">
        <x:v>-34.44</x:v>
      </x:c>
      <x:c r="H1375" s="18" t="n">
        <x:f>H1374+G1375</x:f>
        <x:v>10075792.98999999</x:v>
      </x:c>
    </x:row>
    <x:row r="1376">
      <x:c r="A1376" s="20" t="n">
        <x:v>46188</x:v>
      </x:c>
      <x:c r="B1376" s="21" t="str">
        <x:v>DP-2026-028304</x:v>
      </x:c>
      <x:c r="C1376" s="21" t="str">
        <x:v>ACH PAYMENT - Watson, Mitchell and Chen - DP-2026-028304</x:v>
      </x:c>
      <x:c r="D1376" s="21" t="str">
        <x:v>Supplier payment</x:v>
      </x:c>
      <x:c r="E1376" s="18" t="n">
        <x:v>1409.56</x:v>
      </x:c>
      <x:c r="F1376" s="18"/>
      <x:c r="G1376" s="18" t="n">
        <x:v>-1409.56</x:v>
      </x:c>
      <x:c r="H1376" s="18" t="n">
        <x:f>H1375+G1376</x:f>
        <x:v>10074383.42999999</x:v>
      </x:c>
    </x:row>
    <x:row r="1377">
      <x:c r="A1377" s="20" t="n">
        <x:v>46188</x:v>
      </x:c>
      <x:c r="B1377" s="21" t="str">
        <x:v>DP-2026-028305</x:v>
      </x:c>
      <x:c r="C1377" s="21" t="str">
        <x:v>WIRE TRANSFER PAYMENT - Briggs-Cummings - DP-2026-028305</x:v>
      </x:c>
      <x:c r="D1377" s="21" t="str">
        <x:v>Supplier payment</x:v>
      </x:c>
      <x:c r="E1377" s="18" t="n">
        <x:v>141.41</x:v>
      </x:c>
      <x:c r="F1377" s="18"/>
      <x:c r="G1377" s="18" t="n">
        <x:v>-141.41</x:v>
      </x:c>
      <x:c r="H1377" s="18" t="n">
        <x:f>H1376+G1377</x:f>
        <x:v>10074242.01999999</x:v>
      </x:c>
    </x:row>
    <x:row r="1378">
      <x:c r="A1378" s="20" t="n">
        <x:v>46188</x:v>
      </x:c>
      <x:c r="B1378" s="21" t="str">
        <x:v>PLR-2026-000063</x:v>
      </x:c>
      <x:c r="C1378" s="21" t="str">
        <x:v>PAYROLL REMITTANCE - Federal and State Tax Agencies</x:v>
      </x:c>
      <x:c r="D1378" s="21" t="str">
        <x:v>Payroll remittance</x:v>
      </x:c>
      <x:c r="E1378" s="18" t="n">
        <x:v>31194.91</x:v>
      </x:c>
      <x:c r="F1378" s="18"/>
      <x:c r="G1378" s="18" t="n">
        <x:v>-31194.91</x:v>
      </x:c>
      <x:c r="H1378" s="18" t="n">
        <x:f>H1377+G1378</x:f>
        <x:v>10043047.10999999</x:v>
      </x:c>
    </x:row>
    <x:row r="1379">
      <x:c r="A1379" s="20" t="n">
        <x:v>46188</x:v>
      </x:c>
      <x:c r="B1379" s="21" t="str">
        <x:v>SCP00000156</x:v>
      </x:c>
      <x:c r="C1379" s="21" t="str">
        <x:v>SALES COMMISSION - SCPAY-2026-000156</x:v>
      </x:c>
      <x:c r="D1379" s="21" t="str">
        <x:v>Commission</x:v>
      </x:c>
      <x:c r="E1379" s="18" t="n">
        <x:v>9353.58</x:v>
      </x:c>
      <x:c r="F1379" s="18"/>
      <x:c r="G1379" s="18" t="n">
        <x:v>-9353.58</x:v>
      </x:c>
      <x:c r="H1379" s="18" t="n">
        <x:f>H1378+G1379</x:f>
        <x:v>10033693.52999999</x:v>
      </x:c>
    </x:row>
    <x:row r="1380">
      <x:c r="A1380" s="20" t="n">
        <x:v>46188</x:v>
      </x:c>
      <x:c r="B1380" s="21" t="str">
        <x:v>SCP00000157</x:v>
      </x:c>
      <x:c r="C1380" s="21" t="str">
        <x:v>SALES COMMISSION - SCPAY-2026-000157</x:v>
      </x:c>
      <x:c r="D1380" s="21" t="str">
        <x:v>Commission</x:v>
      </x:c>
      <x:c r="E1380" s="18" t="n">
        <x:v>8320.39</x:v>
      </x:c>
      <x:c r="F1380" s="18"/>
      <x:c r="G1380" s="18" t="n">
        <x:v>-8320.39</x:v>
      </x:c>
      <x:c r="H1380" s="18" t="n">
        <x:f>H1379+G1380</x:f>
        <x:v>10025373.13999999</x:v>
      </x:c>
    </x:row>
    <x:row r="1381">
      <x:c r="A1381" s="20" t="n">
        <x:v>46188</x:v>
      </x:c>
      <x:c r="B1381" s="21" t="str">
        <x:v>SCP00000158</x:v>
      </x:c>
      <x:c r="C1381" s="21" t="str">
        <x:v>SALES COMMISSION - SCPAY-2026-000158</x:v>
      </x:c>
      <x:c r="D1381" s="21" t="str">
        <x:v>Commission</x:v>
      </x:c>
      <x:c r="E1381" s="18" t="n">
        <x:v>10150.18</x:v>
      </x:c>
      <x:c r="F1381" s="18"/>
      <x:c r="G1381" s="18" t="n">
        <x:v>-10150.18</x:v>
      </x:c>
      <x:c r="H1381" s="18" t="n">
        <x:f>H1380+G1381</x:f>
        <x:v>10015222.95999999</x:v>
      </x:c>
    </x:row>
    <x:row r="1382">
      <x:c r="A1382" s="20" t="n">
        <x:v>46188</x:v>
      </x:c>
      <x:c r="B1382" s="21" t="str">
        <x:v>SCP00000160</x:v>
      </x:c>
      <x:c r="C1382" s="21" t="str">
        <x:v>SALES COMMISSION - SCPAY-2026-000160</x:v>
      </x:c>
      <x:c r="D1382" s="21" t="str">
        <x:v>Commission</x:v>
      </x:c>
      <x:c r="E1382" s="18" t="n">
        <x:v>6346.06</x:v>
      </x:c>
      <x:c r="F1382" s="18"/>
      <x:c r="G1382" s="18" t="n">
        <x:v>-6346.06</x:v>
      </x:c>
      <x:c r="H1382" s="18" t="n">
        <x:f>H1381+G1382</x:f>
        <x:v>10008876.89999999</x:v>
      </x:c>
    </x:row>
    <x:row r="1383">
      <x:c r="A1383" s="20" t="n">
        <x:v>46189</x:v>
      </x:c>
      <x:c r="B1383" s="21" t="str">
        <x:v>AR00005931</x:v>
      </x:c>
      <x:c r="C1383" s="21" t="str">
        <x:v>CUSTOMER DEPOSIT - Bowers, Duke and Powers - CR-2026-005931</x:v>
      </x:c>
      <x:c r="D1383" s="21" t="str">
        <x:v>Customer deposit</x:v>
      </x:c>
      <x:c r="E1383" s="18"/>
      <x:c r="F1383" s="18" t="n">
        <x:v>11388.14</x:v>
      </x:c>
      <x:c r="G1383" s="18" t="n">
        <x:v>11388.14</x:v>
      </x:c>
      <x:c r="H1383" s="18" t="n">
        <x:f>H1382+G1383</x:f>
        <x:v>10020265.03999999</x:v>
      </x:c>
    </x:row>
    <x:row r="1384">
      <x:c r="A1384" s="20" t="n">
        <x:v>46189</x:v>
      </x:c>
      <x:c r="B1384" s="21" t="str">
        <x:v>AR00005947</x:v>
      </x:c>
      <x:c r="C1384" s="21" t="str">
        <x:v>CUSTOMER DEPOSIT - Garcia-Joseph - CR-2026-005947</x:v>
      </x:c>
      <x:c r="D1384" s="21" t="str">
        <x:v>Customer deposit</x:v>
      </x:c>
      <x:c r="E1384" s="18"/>
      <x:c r="F1384" s="18" t="n">
        <x:v>25143.85</x:v>
      </x:c>
      <x:c r="G1384" s="18" t="n">
        <x:v>25143.85</x:v>
      </x:c>
      <x:c r="H1384" s="18" t="n">
        <x:f>H1383+G1384</x:f>
        <x:v>10045408.88999999</x:v>
      </x:c>
    </x:row>
    <x:row r="1385">
      <x:c r="A1385" s="20" t="n">
        <x:v>46189</x:v>
      </x:c>
      <x:c r="B1385" s="21" t="str">
        <x:v>AR00005955</x:v>
      </x:c>
      <x:c r="C1385" s="21" t="str">
        <x:v>CUSTOMER DEPOSIT - Bush-Hart - CR-2026-005955</x:v>
      </x:c>
      <x:c r="D1385" s="21" t="str">
        <x:v>Customer deposit</x:v>
      </x:c>
      <x:c r="E1385" s="18"/>
      <x:c r="F1385" s="18" t="n">
        <x:v>16268.27</x:v>
      </x:c>
      <x:c r="G1385" s="18" t="n">
        <x:v>16268.27</x:v>
      </x:c>
      <x:c r="H1385" s="18" t="n">
        <x:f>H1384+G1385</x:f>
        <x:v>10061677.159999989</x:v>
      </x:c>
    </x:row>
    <x:row r="1386">
      <x:c r="A1386" s="20" t="n">
        <x:v>46189</x:v>
      </x:c>
      <x:c r="B1386" s="21" t="str">
        <x:v>AR00005971</x:v>
      </x:c>
      <x:c r="C1386" s="21" t="str">
        <x:v>CUSTOMER DEPOSIT - Robinson-Randall - CR-2026-005971</x:v>
      </x:c>
      <x:c r="D1386" s="21" t="str">
        <x:v>Customer deposit</x:v>
      </x:c>
      <x:c r="E1386" s="18"/>
      <x:c r="F1386" s="18" t="n">
        <x:v>50166.65</x:v>
      </x:c>
      <x:c r="G1386" s="18" t="n">
        <x:v>50166.65</x:v>
      </x:c>
      <x:c r="H1386" s="18" t="n">
        <x:f>H1385+G1386</x:f>
        <x:v>10111843.80999999</x:v>
      </x:c>
    </x:row>
    <x:row r="1387">
      <x:c r="A1387" s="20" t="n">
        <x:v>46189</x:v>
      </x:c>
      <x:c r="B1387" s="21" t="str">
        <x:v>AR00006003</x:v>
      </x:c>
      <x:c r="C1387" s="21" t="str">
        <x:v>CUSTOMER DEPOSIT - Bryant, Day and Rivera - CR-2026-006003</x:v>
      </x:c>
      <x:c r="D1387" s="21" t="str">
        <x:v>Customer deposit</x:v>
      </x:c>
      <x:c r="E1387" s="18"/>
      <x:c r="F1387" s="18" t="n">
        <x:v>10324.88</x:v>
      </x:c>
      <x:c r="G1387" s="18" t="n">
        <x:v>10324.88</x:v>
      </x:c>
      <x:c r="H1387" s="18" t="n">
        <x:f>H1386+G1387</x:f>
        <x:v>10122168.68999999</x:v>
      </x:c>
    </x:row>
    <x:row r="1388">
      <x:c r="A1388" s="20" t="n">
        <x:v>46189</x:v>
      </x:c>
      <x:c r="B1388" s="21" t="str">
        <x:v>AR00006012</x:v>
      </x:c>
      <x:c r="C1388" s="21" t="str">
        <x:v>CUSTOMER DEPOSIT - Russell-Vance - CR-2026-006012</x:v>
      </x:c>
      <x:c r="D1388" s="21" t="str">
        <x:v>Customer deposit</x:v>
      </x:c>
      <x:c r="E1388" s="18"/>
      <x:c r="F1388" s="18" t="n">
        <x:v>3076.25</x:v>
      </x:c>
      <x:c r="G1388" s="18" t="n">
        <x:v>3076.25</x:v>
      </x:c>
      <x:c r="H1388" s="18" t="n">
        <x:f>H1387+G1388</x:f>
        <x:v>10125244.93999999</x:v>
      </x:c>
    </x:row>
    <x:row r="1389">
      <x:c r="A1389" s="20" t="n">
        <x:v>46189</x:v>
      </x:c>
      <x:c r="B1389" s="21" t="str">
        <x:v>AR00006032</x:v>
      </x:c>
      <x:c r="C1389" s="21" t="str">
        <x:v>CUSTOMER DEPOSIT - Gonzalez Inc - CR-2026-006032</x:v>
      </x:c>
      <x:c r="D1389" s="21" t="str">
        <x:v>Customer deposit</x:v>
      </x:c>
      <x:c r="E1389" s="18"/>
      <x:c r="F1389" s="18" t="n">
        <x:v>6065.07</x:v>
      </x:c>
      <x:c r="G1389" s="18" t="n">
        <x:v>6065.07</x:v>
      </x:c>
      <x:c r="H1389" s="18" t="n">
        <x:f>H1388+G1389</x:f>
        <x:v>10131310.00999999</x:v>
      </x:c>
    </x:row>
    <x:row r="1390">
      <x:c r="A1390" s="20" t="n">
        <x:v>46189</x:v>
      </x:c>
      <x:c r="B1390" s="21" t="str">
        <x:v>AR00006067</x:v>
      </x:c>
      <x:c r="C1390" s="21" t="str">
        <x:v>CUSTOMER DEPOSIT - Young-Rodriguez - CR-2026-006067</x:v>
      </x:c>
      <x:c r="D1390" s="21" t="str">
        <x:v>Customer deposit</x:v>
      </x:c>
      <x:c r="E1390" s="18"/>
      <x:c r="F1390" s="18" t="n">
        <x:v>2480.17</x:v>
      </x:c>
      <x:c r="G1390" s="18" t="n">
        <x:v>2480.17</x:v>
      </x:c>
      <x:c r="H1390" s="18" t="n">
        <x:f>H1389+G1390</x:f>
        <x:v>10133790.17999999</x:v>
      </x:c>
    </x:row>
    <x:row r="1391">
      <x:c r="A1391" s="20" t="n">
        <x:v>46189</x:v>
      </x:c>
      <x:c r="B1391" s="21" t="str">
        <x:v>AR00006070</x:v>
      </x:c>
      <x:c r="C1391" s="21" t="str">
        <x:v>CUSTOMER DEPOSIT - Cox, Avila and Patel - CR-2026-006070</x:v>
      </x:c>
      <x:c r="D1391" s="21" t="str">
        <x:v>Customer deposit</x:v>
      </x:c>
      <x:c r="E1391" s="18"/>
      <x:c r="F1391" s="18" t="n">
        <x:v>562.7</x:v>
      </x:c>
      <x:c r="G1391" s="18" t="n">
        <x:v>562.7</x:v>
      </x:c>
      <x:c r="H1391" s="18" t="n">
        <x:f>H1390+G1391</x:f>
        <x:v>10134352.87999999</x:v>
      </x:c>
    </x:row>
    <x:row r="1392">
      <x:c r="A1392" s="20" t="n">
        <x:v>46189</x:v>
      </x:c>
      <x:c r="B1392" s="21" t="str">
        <x:v>AR00006112</x:v>
      </x:c>
      <x:c r="C1392" s="21" t="str">
        <x:v>CUSTOMER DEPOSIT - Moody, Spencer and Lam - CR-2026-006112</x:v>
      </x:c>
      <x:c r="D1392" s="21" t="str">
        <x:v>Customer deposit</x:v>
      </x:c>
      <x:c r="E1392" s="18"/>
      <x:c r="F1392" s="18" t="n">
        <x:v>14537.2</x:v>
      </x:c>
      <x:c r="G1392" s="18" t="n">
        <x:v>14537.2</x:v>
      </x:c>
      <x:c r="H1392" s="18" t="n">
        <x:f>H1391+G1392</x:f>
        <x:v>10148890.079999989</x:v>
      </x:c>
    </x:row>
    <x:row r="1393">
      <x:c r="A1393" s="20" t="n">
        <x:v>46189</x:v>
      </x:c>
      <x:c r="B1393" s="21" t="str">
        <x:v>CHK0028035</x:v>
      </x:c>
      <x:c r="C1393" s="21" t="str">
        <x:v>CHECK PAYMENT - Turner PLC - DP-2026-028035</x:v>
      </x:c>
      <x:c r="D1393" s="21" t="str">
        <x:v>Supplier payment</x:v>
      </x:c>
      <x:c r="E1393" s="18" t="n">
        <x:v>761.29</x:v>
      </x:c>
      <x:c r="F1393" s="18"/>
      <x:c r="G1393" s="18" t="n">
        <x:v>-761.29</x:v>
      </x:c>
      <x:c r="H1393" s="18" t="n">
        <x:f>H1392+G1393</x:f>
        <x:v>10148128.78999999</x:v>
      </x:c>
    </x:row>
    <x:row r="1394">
      <x:c r="A1394" s="20" t="n">
        <x:v>46189</x:v>
      </x:c>
      <x:c r="B1394" s="21" t="str">
        <x:v>CHK0028037</x:v>
      </x:c>
      <x:c r="C1394" s="21" t="str">
        <x:v>CHECK PAYMENT - Hoffman LLC - DP-2026-028037</x:v>
      </x:c>
      <x:c r="D1394" s="21" t="str">
        <x:v>Supplier payment</x:v>
      </x:c>
      <x:c r="E1394" s="18" t="n">
        <x:v>254.65</x:v>
      </x:c>
      <x:c r="F1394" s="18"/>
      <x:c r="G1394" s="18" t="n">
        <x:v>-254.65</x:v>
      </x:c>
      <x:c r="H1394" s="18" t="n">
        <x:f>H1393+G1394</x:f>
        <x:v>10147874.13999999</x:v>
      </x:c>
    </x:row>
    <x:row r="1395">
      <x:c r="A1395" s="20" t="n">
        <x:v>46189</x:v>
      </x:c>
      <x:c r="B1395" s="21" t="str">
        <x:v>CHK0028130</x:v>
      </x:c>
      <x:c r="C1395" s="21" t="str">
        <x:v>CHECK PAYMENT - Marks, Mitchell and Hernandez - DP-2026-028130</x:v>
      </x:c>
      <x:c r="D1395" s="21" t="str">
        <x:v>Supplier payment</x:v>
      </x:c>
      <x:c r="E1395" s="18" t="n">
        <x:v>424.57</x:v>
      </x:c>
      <x:c r="F1395" s="18"/>
      <x:c r="G1395" s="18" t="n">
        <x:v>-424.57</x:v>
      </x:c>
      <x:c r="H1395" s="18" t="n">
        <x:f>H1394+G1395</x:f>
        <x:v>10147449.56999999</x:v>
      </x:c>
    </x:row>
    <x:row r="1396">
      <x:c r="A1396" s="20" t="n">
        <x:v>46189</x:v>
      </x:c>
      <x:c r="B1396" s="21" t="str">
        <x:v>CHK0028225</x:v>
      </x:c>
      <x:c r="C1396" s="21" t="str">
        <x:v>CHECK PAYMENT - Brooks, Johnson and Olson - DP-2026-028225</x:v>
      </x:c>
      <x:c r="D1396" s="21" t="str">
        <x:v>Supplier payment</x:v>
      </x:c>
      <x:c r="E1396" s="18" t="n">
        <x:v>214.15</x:v>
      </x:c>
      <x:c r="F1396" s="18"/>
      <x:c r="G1396" s="18" t="n">
        <x:v>-214.15</x:v>
      </x:c>
      <x:c r="H1396" s="18" t="n">
        <x:f>H1395+G1396</x:f>
        <x:v>10147235.419999989</x:v>
      </x:c>
    </x:row>
    <x:row r="1397">
      <x:c r="A1397" s="20" t="n">
        <x:v>46189</x:v>
      </x:c>
      <x:c r="B1397" s="21" t="str">
        <x:v>CHK0028283</x:v>
      </x:c>
      <x:c r="C1397" s="21" t="str">
        <x:v>CHECK PAYMENT - Bell, Pruitt and David - DP-2026-028283</x:v>
      </x:c>
      <x:c r="D1397" s="21" t="str">
        <x:v>Supplier payment</x:v>
      </x:c>
      <x:c r="E1397" s="18" t="n">
        <x:v>925.59</x:v>
      </x:c>
      <x:c r="F1397" s="18"/>
      <x:c r="G1397" s="18" t="n">
        <x:v>-925.59</x:v>
      </x:c>
      <x:c r="H1397" s="18" t="n">
        <x:f>H1396+G1397</x:f>
        <x:v>10146309.829999989</x:v>
      </x:c>
    </x:row>
    <x:row r="1398">
      <x:c r="A1398" s="20" t="n">
        <x:v>46189</x:v>
      </x:c>
      <x:c r="B1398" s="21" t="str">
        <x:v>DP-2026-027140</x:v>
      </x:c>
      <x:c r="C1398" s="21" t="str">
        <x:v>WIRE TRANSFER PAYMENT - Colon LLC - DP-2026-027140</x:v>
      </x:c>
      <x:c r="D1398" s="21" t="str">
        <x:v>Supplier payment</x:v>
      </x:c>
      <x:c r="E1398" s="18" t="n">
        <x:v>801.02</x:v>
      </x:c>
      <x:c r="F1398" s="18"/>
      <x:c r="G1398" s="18" t="n">
        <x:v>-801.02</x:v>
      </x:c>
      <x:c r="H1398" s="18" t="n">
        <x:f>H1397+G1398</x:f>
        <x:v>10145508.80999999</x:v>
      </x:c>
    </x:row>
    <x:row r="1399">
      <x:c r="A1399" s="20" t="n">
        <x:v>46189</x:v>
      </x:c>
      <x:c r="B1399" s="21" t="str">
        <x:v>DP-2026-027149</x:v>
      </x:c>
      <x:c r="C1399" s="21" t="str">
        <x:v>WIRE TRANSFER PAYMENT - Bailey, Gutierrez and Cameron - DP-2026-027149</x:v>
      </x:c>
      <x:c r="D1399" s="21" t="str">
        <x:v>Supplier payment</x:v>
      </x:c>
      <x:c r="E1399" s="18" t="n">
        <x:v>125.1</x:v>
      </x:c>
      <x:c r="F1399" s="18"/>
      <x:c r="G1399" s="18" t="n">
        <x:v>-125.1</x:v>
      </x:c>
      <x:c r="H1399" s="18" t="n">
        <x:f>H1398+G1399</x:f>
        <x:v>10145383.70999999</x:v>
      </x:c>
    </x:row>
    <x:row r="1400">
      <x:c r="A1400" s="20" t="n">
        <x:v>46189</x:v>
      </x:c>
      <x:c r="B1400" s="21" t="str">
        <x:v>DP-2026-027151</x:v>
      </x:c>
      <x:c r="C1400" s="21" t="str">
        <x:v>ACH PAYMENT - Ellis, Smith and Francis - DP-2026-027151</x:v>
      </x:c>
      <x:c r="D1400" s="21" t="str">
        <x:v>Supplier payment</x:v>
      </x:c>
      <x:c r="E1400" s="18" t="n">
        <x:v>223.66</x:v>
      </x:c>
      <x:c r="F1400" s="18"/>
      <x:c r="G1400" s="18" t="n">
        <x:v>-223.66</x:v>
      </x:c>
      <x:c r="H1400" s="18" t="n">
        <x:f>H1399+G1400</x:f>
        <x:v>10145160.04999999</x:v>
      </x:c>
    </x:row>
    <x:row r="1401">
      <x:c r="A1401" s="20" t="n">
        <x:v>46189</x:v>
      </x:c>
      <x:c r="B1401" s="21" t="str">
        <x:v>DP-2026-028049</x:v>
      </x:c>
      <x:c r="C1401" s="21" t="str">
        <x:v>WIRE TRANSFER PAYMENT - Hester Ltd - DP-2026-028049</x:v>
      </x:c>
      <x:c r="D1401" s="21" t="str">
        <x:v>Supplier payment</x:v>
      </x:c>
      <x:c r="E1401" s="18" t="n">
        <x:v>98.03</x:v>
      </x:c>
      <x:c r="F1401" s="18"/>
      <x:c r="G1401" s="18" t="n">
        <x:v>-98.03</x:v>
      </x:c>
      <x:c r="H1401" s="18" t="n">
        <x:f>H1400+G1401</x:f>
        <x:v>10145062.01999999</x:v>
      </x:c>
    </x:row>
    <x:row r="1402">
      <x:c r="A1402" s="20" t="n">
        <x:v>46189</x:v>
      </x:c>
      <x:c r="B1402" s="21" t="str">
        <x:v>DP-2026-028078</x:v>
      </x:c>
      <x:c r="C1402" s="21" t="str">
        <x:v>ACH PAYMENT - Garcia Group - DP-2026-028078</x:v>
      </x:c>
      <x:c r="D1402" s="21" t="str">
        <x:v>Supplier payment</x:v>
      </x:c>
      <x:c r="E1402" s="18" t="n">
        <x:v>1116.2</x:v>
      </x:c>
      <x:c r="F1402" s="18"/>
      <x:c r="G1402" s="18" t="n">
        <x:v>-1116.2</x:v>
      </x:c>
      <x:c r="H1402" s="18" t="n">
        <x:f>H1401+G1402</x:f>
        <x:v>10143945.819999991</x:v>
      </x:c>
    </x:row>
    <x:row r="1403">
      <x:c r="A1403" s="20" t="n">
        <x:v>46189</x:v>
      </x:c>
      <x:c r="B1403" s="21" t="str">
        <x:v>DP-2026-028132</x:v>
      </x:c>
      <x:c r="C1403" s="21" t="str">
        <x:v>ACH PAYMENT - Keith PLC - DP-2026-028132</x:v>
      </x:c>
      <x:c r="D1403" s="21" t="str">
        <x:v>Supplier payment</x:v>
      </x:c>
      <x:c r="E1403" s="18" t="n">
        <x:v>753.27</x:v>
      </x:c>
      <x:c r="F1403" s="18"/>
      <x:c r="G1403" s="18" t="n">
        <x:v>-753.27</x:v>
      </x:c>
      <x:c r="H1403" s="18" t="n">
        <x:f>H1402+G1403</x:f>
        <x:v>10143192.549999991</x:v>
      </x:c>
    </x:row>
    <x:row r="1404">
      <x:c r="A1404" s="20" t="n">
        <x:v>46189</x:v>
      </x:c>
      <x:c r="B1404" s="21" t="str">
        <x:v>DP-2026-028147</x:v>
      </x:c>
      <x:c r="C1404" s="21" t="str">
        <x:v>ACH PAYMENT - Berger, Stanley and Cooper - DP-2026-028147</x:v>
      </x:c>
      <x:c r="D1404" s="21" t="str">
        <x:v>Supplier payment</x:v>
      </x:c>
      <x:c r="E1404" s="18" t="n">
        <x:v>774.51</x:v>
      </x:c>
      <x:c r="F1404" s="18"/>
      <x:c r="G1404" s="18" t="n">
        <x:v>-774.51</x:v>
      </x:c>
      <x:c r="H1404" s="18" t="n">
        <x:f>H1403+G1404</x:f>
        <x:v>10142418.039999992</x:v>
      </x:c>
    </x:row>
    <x:row r="1405">
      <x:c r="A1405" s="20" t="n">
        <x:v>46189</x:v>
      </x:c>
      <x:c r="B1405" s="21" t="str">
        <x:v>DP-2026-028191</x:v>
      </x:c>
      <x:c r="C1405" s="21" t="str">
        <x:v>ACH PAYMENT - Collins-Johnson - DP-2026-028191</x:v>
      </x:c>
      <x:c r="D1405" s="21" t="str">
        <x:v>Supplier payment</x:v>
      </x:c>
      <x:c r="E1405" s="18" t="n">
        <x:v>0.55</x:v>
      </x:c>
      <x:c r="F1405" s="18"/>
      <x:c r="G1405" s="18" t="n">
        <x:v>-0.55</x:v>
      </x:c>
      <x:c r="H1405" s="18" t="n">
        <x:f>H1404+G1405</x:f>
        <x:v>10142417.48999999</x:v>
      </x:c>
    </x:row>
    <x:row r="1406">
      <x:c r="A1406" s="20" t="n">
        <x:v>46189</x:v>
      </x:c>
      <x:c r="B1406" s="21" t="str">
        <x:v>DP-2026-028200</x:v>
      </x:c>
      <x:c r="C1406" s="21" t="str">
        <x:v>ACH PAYMENT - Anderson-Noble - DP-2026-028200</x:v>
      </x:c>
      <x:c r="D1406" s="21" t="str">
        <x:v>Supplier payment</x:v>
      </x:c>
      <x:c r="E1406" s="18" t="n">
        <x:v>451.84</x:v>
      </x:c>
      <x:c r="F1406" s="18"/>
      <x:c r="G1406" s="18" t="n">
        <x:v>-451.84</x:v>
      </x:c>
      <x:c r="H1406" s="18" t="n">
        <x:f>H1405+G1406</x:f>
        <x:v>10141965.649999991</x:v>
      </x:c>
    </x:row>
    <x:row r="1407">
      <x:c r="A1407" s="20" t="n">
        <x:v>46189</x:v>
      </x:c>
      <x:c r="B1407" s="21" t="str">
        <x:v>DP-2026-028212</x:v>
      </x:c>
      <x:c r="C1407" s="21" t="str">
        <x:v>ACH PAYMENT - Boone-Benton - DP-2026-028212</x:v>
      </x:c>
      <x:c r="D1407" s="21" t="str">
        <x:v>Supplier payment</x:v>
      </x:c>
      <x:c r="E1407" s="18" t="n">
        <x:v>1483.83</x:v>
      </x:c>
      <x:c r="F1407" s="18"/>
      <x:c r="G1407" s="18" t="n">
        <x:v>-1483.83</x:v>
      </x:c>
      <x:c r="H1407" s="18" t="n">
        <x:f>H1406+G1407</x:f>
        <x:v>10140481.819999991</x:v>
      </x:c>
    </x:row>
    <x:row r="1408">
      <x:c r="A1408" s="20" t="n">
        <x:v>46189</x:v>
      </x:c>
      <x:c r="B1408" s="21" t="str">
        <x:v>DP-2026-028259</x:v>
      </x:c>
      <x:c r="C1408" s="21" t="str">
        <x:v>ACH PAYMENT - Fuller LLC - DP-2026-028259</x:v>
      </x:c>
      <x:c r="D1408" s="21" t="str">
        <x:v>Supplier payment</x:v>
      </x:c>
      <x:c r="E1408" s="18" t="n">
        <x:v>508.98</x:v>
      </x:c>
      <x:c r="F1408" s="18"/>
      <x:c r="G1408" s="18" t="n">
        <x:v>-508.98</x:v>
      </x:c>
      <x:c r="H1408" s="18" t="n">
        <x:f>H1407+G1408</x:f>
        <x:v>10139972.83999999</x:v>
      </x:c>
    </x:row>
    <x:row r="1409">
      <x:c r="A1409" s="20" t="n">
        <x:v>46189</x:v>
      </x:c>
      <x:c r="B1409" s="21" t="str">
        <x:v>DP-2026-028265</x:v>
      </x:c>
      <x:c r="C1409" s="21" t="str">
        <x:v>ACH PAYMENT - Powell Inc - DP-2026-028265</x:v>
      </x:c>
      <x:c r="D1409" s="21" t="str">
        <x:v>Supplier payment</x:v>
      </x:c>
      <x:c r="E1409" s="18" t="n">
        <x:v>646.84</x:v>
      </x:c>
      <x:c r="F1409" s="18"/>
      <x:c r="G1409" s="18" t="n">
        <x:v>-646.84</x:v>
      </x:c>
      <x:c r="H1409" s="18" t="n">
        <x:f>H1408+G1409</x:f>
        <x:v>10139325.99999999</x:v>
      </x:c>
    </x:row>
    <x:row r="1410">
      <x:c r="A1410" s="20" t="n">
        <x:v>46189</x:v>
      </x:c>
      <x:c r="B1410" s="21" t="str">
        <x:v>DP-2026-028284</x:v>
      </x:c>
      <x:c r="C1410" s="21" t="str">
        <x:v>WIRE TRANSFER PAYMENT - Sweeney PLC - DP-2026-028284</x:v>
      </x:c>
      <x:c r="D1410" s="21" t="str">
        <x:v>Supplier payment</x:v>
      </x:c>
      <x:c r="E1410" s="18" t="n">
        <x:v>1428.77</x:v>
      </x:c>
      <x:c r="F1410" s="18"/>
      <x:c r="G1410" s="18" t="n">
        <x:v>-1428.77</x:v>
      </x:c>
      <x:c r="H1410" s="18" t="n">
        <x:f>H1409+G1410</x:f>
        <x:v>10137897.229999991</x:v>
      </x:c>
    </x:row>
    <x:row r="1411">
      <x:c r="A1411" s="20" t="n">
        <x:v>46189</x:v>
      </x:c>
      <x:c r="B1411" s="21" t="str">
        <x:v>DP-2026-028317</x:v>
      </x:c>
      <x:c r="C1411" s="21" t="str">
        <x:v>ACH PAYMENT - Anderson-Noble - DP-2026-028317</x:v>
      </x:c>
      <x:c r="D1411" s="21" t="str">
        <x:v>Supplier payment</x:v>
      </x:c>
      <x:c r="E1411" s="18" t="n">
        <x:v>515.94</x:v>
      </x:c>
      <x:c r="F1411" s="18"/>
      <x:c r="G1411" s="18" t="n">
        <x:v>-515.94</x:v>
      </x:c>
      <x:c r="H1411" s="18" t="n">
        <x:f>H1410+G1411</x:f>
        <x:v>10137381.289999992</x:v>
      </x:c>
    </x:row>
    <x:row r="1412">
      <x:c r="A1412" s="20" t="n">
        <x:v>46189</x:v>
      </x:c>
      <x:c r="B1412" s="21" t="str">
        <x:v>DP-2026-028351</x:v>
      </x:c>
      <x:c r="C1412" s="21" t="str">
        <x:v>ACH PAYMENT - Goodwin, Walker and Scott - DP-2026-028351</x:v>
      </x:c>
      <x:c r="D1412" s="21" t="str">
        <x:v>Supplier payment</x:v>
      </x:c>
      <x:c r="E1412" s="18" t="n">
        <x:v>662.34</x:v>
      </x:c>
      <x:c r="F1412" s="18"/>
      <x:c r="G1412" s="18" t="n">
        <x:v>-662.34</x:v>
      </x:c>
      <x:c r="H1412" s="18" t="n">
        <x:f>H1411+G1412</x:f>
        <x:v>10136718.949999992</x:v>
      </x:c>
    </x:row>
    <x:row r="1413">
      <x:c r="A1413" s="20" t="n">
        <x:v>46189</x:v>
      </x:c>
      <x:c r="B1413" s="21" t="str">
        <x:v>DP-2026-040062</x:v>
      </x:c>
      <x:c r="C1413" s="21" t="str">
        <x:v>ACH PAYMENT - Cross, Alexander and Romero - DP-2026-040062</x:v>
      </x:c>
      <x:c r="D1413" s="21" t="str">
        <x:v>Supplier payment</x:v>
      </x:c>
      <x:c r="E1413" s="18" t="n">
        <x:v>6821.32</x:v>
      </x:c>
      <x:c r="F1413" s="18"/>
      <x:c r="G1413" s="18" t="n">
        <x:v>-6821.32</x:v>
      </x:c>
      <x:c r="H1413" s="18" t="n">
        <x:f>H1412+G1413</x:f>
        <x:v>10129897.629999992</x:v>
      </x:c>
    </x:row>
    <x:row r="1414">
      <x:c r="A1414" s="20" t="n">
        <x:v>46189</x:v>
      </x:c>
      <x:c r="B1414" s="21" t="str">
        <x:v>PLR-2026-000064</x:v>
      </x:c>
      <x:c r="C1414" s="21" t="str">
        <x:v>PAYROLL REMITTANCE - Payroll Tax Agencies</x:v>
      </x:c>
      <x:c r="D1414" s="21" t="str">
        <x:v>Payroll remittance</x:v>
      </x:c>
      <x:c r="E1414" s="18" t="n">
        <x:v>17646.58</x:v>
      </x:c>
      <x:c r="F1414" s="18"/>
      <x:c r="G1414" s="18" t="n">
        <x:v>-17646.58</x:v>
      </x:c>
      <x:c r="H1414" s="18" t="n">
        <x:f>H1413+G1414</x:f>
        <x:v>10112251.049999991</x:v>
      </x:c>
    </x:row>
    <x:row r="1415">
      <x:c r="A1415" s="20" t="n">
        <x:v>46190</x:v>
      </x:c>
      <x:c r="B1415" s="21" t="str">
        <x:v>AR00005960</x:v>
      </x:c>
      <x:c r="C1415" s="21" t="str">
        <x:v>CUSTOMER DEPOSIT - Reese and Sons - CR-2026-005960</x:v>
      </x:c>
      <x:c r="D1415" s="21" t="str">
        <x:v>Customer deposit</x:v>
      </x:c>
      <x:c r="E1415" s="18"/>
      <x:c r="F1415" s="18" t="n">
        <x:v>5448.66</x:v>
      </x:c>
      <x:c r="G1415" s="18" t="n">
        <x:v>5448.66</x:v>
      </x:c>
      <x:c r="H1415" s="18" t="n">
        <x:f>H1414+G1415</x:f>
        <x:v>10117699.709999992</x:v>
      </x:c>
    </x:row>
    <x:row r="1416">
      <x:c r="A1416" s="20" t="n">
        <x:v>46190</x:v>
      </x:c>
      <x:c r="B1416" s="21" t="str">
        <x:v>AR00006123</x:v>
      </x:c>
      <x:c r="C1416" s="21" t="str">
        <x:v>CUSTOMER DEPOSIT - Thompson LLC - CR-2026-006123</x:v>
      </x:c>
      <x:c r="D1416" s="21" t="str">
        <x:v>Customer deposit</x:v>
      </x:c>
      <x:c r="E1416" s="18"/>
      <x:c r="F1416" s="18" t="n">
        <x:v>16132.65</x:v>
      </x:c>
      <x:c r="G1416" s="18" t="n">
        <x:v>16132.65</x:v>
      </x:c>
      <x:c r="H1416" s="18" t="n">
        <x:f>H1415+G1416</x:f>
        <x:v>10133832.359999992</x:v>
      </x:c>
    </x:row>
    <x:row r="1417">
      <x:c r="A1417" s="20" t="n">
        <x:v>46190</x:v>
      </x:c>
      <x:c r="B1417" s="21" t="str">
        <x:v>AR00006128</x:v>
      </x:c>
      <x:c r="C1417" s="21" t="str">
        <x:v>CUSTOMER DEPOSIT - Carrillo, Williams and Mejia - CR-2026-006128</x:v>
      </x:c>
      <x:c r="D1417" s="21" t="str">
        <x:v>Customer deposit</x:v>
      </x:c>
      <x:c r="E1417" s="18"/>
      <x:c r="F1417" s="18" t="n">
        <x:v>37375.58</x:v>
      </x:c>
      <x:c r="G1417" s="18" t="n">
        <x:v>37375.58</x:v>
      </x:c>
      <x:c r="H1417" s="18" t="n">
        <x:f>H1416+G1417</x:f>
        <x:v>10171207.939999992</x:v>
      </x:c>
    </x:row>
    <x:row r="1418">
      <x:c r="A1418" s="20" t="n">
        <x:v>46190</x:v>
      </x:c>
      <x:c r="B1418" s="21" t="str">
        <x:v>CHK0027983</x:v>
      </x:c>
      <x:c r="C1418" s="21" t="str">
        <x:v>CHECK PAYMENT - Silva, Burton and Arnold - DP-2026-027983</x:v>
      </x:c>
      <x:c r="D1418" s="21" t="str">
        <x:v>Supplier payment</x:v>
      </x:c>
      <x:c r="E1418" s="18" t="n">
        <x:v>750.17</x:v>
      </x:c>
      <x:c r="F1418" s="18"/>
      <x:c r="G1418" s="18" t="n">
        <x:v>-750.17</x:v>
      </x:c>
      <x:c r="H1418" s="18" t="n">
        <x:f>H1417+G1418</x:f>
        <x:v>10170457.769999992</x:v>
      </x:c>
    </x:row>
    <x:row r="1419">
      <x:c r="A1419" s="20" t="n">
        <x:v>46190</x:v>
      </x:c>
      <x:c r="B1419" s="21" t="str">
        <x:v>CHK0028052</x:v>
      </x:c>
      <x:c r="C1419" s="21" t="str">
        <x:v>CHECK PAYMENT - Coleman-Moore - DP-2026-028052</x:v>
      </x:c>
      <x:c r="D1419" s="21" t="str">
        <x:v>Supplier payment</x:v>
      </x:c>
      <x:c r="E1419" s="18" t="n">
        <x:v>289.28</x:v>
      </x:c>
      <x:c r="F1419" s="18"/>
      <x:c r="G1419" s="18" t="n">
        <x:v>-289.28</x:v>
      </x:c>
      <x:c r="H1419" s="18" t="n">
        <x:f>H1418+G1419</x:f>
        <x:v>10170168.489999993</x:v>
      </x:c>
    </x:row>
    <x:row r="1420">
      <x:c r="A1420" s="20" t="n">
        <x:v>46190</x:v>
      </x:c>
      <x:c r="B1420" s="21" t="str">
        <x:v>CHK0028067</x:v>
      </x:c>
      <x:c r="C1420" s="21" t="str">
        <x:v>CHECK PAYMENT - Berger, Stanley and Cooper - DP-2026-028067</x:v>
      </x:c>
      <x:c r="D1420" s="21" t="str">
        <x:v>Supplier payment</x:v>
      </x:c>
      <x:c r="E1420" s="18" t="n">
        <x:v>523.92</x:v>
      </x:c>
      <x:c r="F1420" s="18"/>
      <x:c r="G1420" s="18" t="n">
        <x:v>-523.92</x:v>
      </x:c>
      <x:c r="H1420" s="18" t="n">
        <x:f>H1419+G1420</x:f>
        <x:v>10169644.569999993</x:v>
      </x:c>
    </x:row>
    <x:row r="1421">
      <x:c r="A1421" s="20" t="n">
        <x:v>46190</x:v>
      </x:c>
      <x:c r="B1421" s="21" t="str">
        <x:v>CHK0028089</x:v>
      </x:c>
      <x:c r="C1421" s="21" t="str">
        <x:v>CHECK PAYMENT - Velasquez-Baxter - DP-2026-028089</x:v>
      </x:c>
      <x:c r="D1421" s="21" t="str">
        <x:v>Supplier payment</x:v>
      </x:c>
      <x:c r="E1421" s="18" t="n">
        <x:v>104.04</x:v>
      </x:c>
      <x:c r="F1421" s="18"/>
      <x:c r="G1421" s="18" t="n">
        <x:v>-104.04</x:v>
      </x:c>
      <x:c r="H1421" s="18" t="n">
        <x:f>H1420+G1421</x:f>
        <x:v>10169540.529999994</x:v>
      </x:c>
    </x:row>
    <x:row r="1422">
      <x:c r="A1422" s="20" t="n">
        <x:v>46190</x:v>
      </x:c>
      <x:c r="B1422" s="21" t="str">
        <x:v>CHK0028090</x:v>
      </x:c>
      <x:c r="C1422" s="21" t="str">
        <x:v>CHECK PAYMENT - Munoz, Garcia and Olsen - DP-2026-028090</x:v>
      </x:c>
      <x:c r="D1422" s="21" t="str">
        <x:v>Supplier payment</x:v>
      </x:c>
      <x:c r="E1422" s="18" t="n">
        <x:v>81.57</x:v>
      </x:c>
      <x:c r="F1422" s="18"/>
      <x:c r="G1422" s="18" t="n">
        <x:v>-81.57</x:v>
      </x:c>
      <x:c r="H1422" s="18" t="n">
        <x:f>H1421+G1422</x:f>
        <x:v>10169458.959999993</x:v>
      </x:c>
    </x:row>
    <x:row r="1423">
      <x:c r="A1423" s="20" t="n">
        <x:v>46190</x:v>
      </x:c>
      <x:c r="B1423" s="21" t="str">
        <x:v>CHK0028312</x:v>
      </x:c>
      <x:c r="C1423" s="21" t="str">
        <x:v>CHECK PAYMENT - Velasquez-Baxter - DP-2026-028312</x:v>
      </x:c>
      <x:c r="D1423" s="21" t="str">
        <x:v>Supplier payment</x:v>
      </x:c>
      <x:c r="E1423" s="18" t="n">
        <x:v>107.08</x:v>
      </x:c>
      <x:c r="F1423" s="18"/>
      <x:c r="G1423" s="18" t="n">
        <x:v>-107.08</x:v>
      </x:c>
      <x:c r="H1423" s="18" t="n">
        <x:f>H1422+G1423</x:f>
        <x:v>10169351.879999993</x:v>
      </x:c>
    </x:row>
    <x:row r="1424">
      <x:c r="A1424" s="20" t="n">
        <x:v>46190</x:v>
      </x:c>
      <x:c r="B1424" s="21" t="str">
        <x:v>DEP00005919</x:v>
      </x:c>
      <x:c r="C1424" s="21" t="str">
        <x:v>CUSTOMER DEPOSIT - Thomas Ltd - CR-2026-005919</x:v>
      </x:c>
      <x:c r="D1424" s="21" t="str">
        <x:v>Customer deposit</x:v>
      </x:c>
      <x:c r="E1424" s="18"/>
      <x:c r="F1424" s="18" t="n">
        <x:v>6641.51</x:v>
      </x:c>
      <x:c r="G1424" s="18" t="n">
        <x:v>6641.51</x:v>
      </x:c>
      <x:c r="H1424" s="18" t="n">
        <x:f>H1423+G1424</x:f>
        <x:v>10175993.389999993</x:v>
      </x:c>
    </x:row>
    <x:row r="1425">
      <x:c r="A1425" s="20" t="n">
        <x:v>46190</x:v>
      </x:c>
      <x:c r="B1425" s="21" t="str">
        <x:v>DP-2026-025619</x:v>
      </x:c>
      <x:c r="C1425" s="21" t="str">
        <x:v>ACH PAYMENT - Powers-Daniels - DP-2026-025619</x:v>
      </x:c>
      <x:c r="D1425" s="21" t="str">
        <x:v>Supplier payment</x:v>
      </x:c>
      <x:c r="E1425" s="18" t="n">
        <x:v>1265.26</x:v>
      </x:c>
      <x:c r="F1425" s="18"/>
      <x:c r="G1425" s="18" t="n">
        <x:v>-1265.26</x:v>
      </x:c>
      <x:c r="H1425" s="18" t="n">
        <x:f>H1424+G1425</x:f>
        <x:v>10174728.129999993</x:v>
      </x:c>
    </x:row>
    <x:row r="1426">
      <x:c r="A1426" s="20" t="n">
        <x:v>46190</x:v>
      </x:c>
      <x:c r="B1426" s="21" t="str">
        <x:v>DP-2026-027145</x:v>
      </x:c>
      <x:c r="C1426" s="21" t="str">
        <x:v>ACH PAYMENT - Lyons-Sheppard - DP-2026-027145</x:v>
      </x:c>
      <x:c r="D1426" s="21" t="str">
        <x:v>Supplier payment</x:v>
      </x:c>
      <x:c r="E1426" s="18" t="n">
        <x:v>34.56</x:v>
      </x:c>
      <x:c r="F1426" s="18"/>
      <x:c r="G1426" s="18" t="n">
        <x:v>-34.56</x:v>
      </x:c>
      <x:c r="H1426" s="18" t="n">
        <x:f>H1425+G1426</x:f>
        <x:v>10174693.569999993</x:v>
      </x:c>
    </x:row>
    <x:row r="1427">
      <x:c r="A1427" s="20" t="n">
        <x:v>46190</x:v>
      </x:c>
      <x:c r="B1427" s="21" t="str">
        <x:v>DP-2026-028007</x:v>
      </x:c>
      <x:c r="C1427" s="21" t="str">
        <x:v>ACH PAYMENT - Diaz Group - DP-2026-028007</x:v>
      </x:c>
      <x:c r="D1427" s="21" t="str">
        <x:v>Supplier payment</x:v>
      </x:c>
      <x:c r="E1427" s="18" t="n">
        <x:v>89.12</x:v>
      </x:c>
      <x:c r="F1427" s="18"/>
      <x:c r="G1427" s="18" t="n">
        <x:v>-89.12</x:v>
      </x:c>
      <x:c r="H1427" s="18" t="n">
        <x:f>H1426+G1427</x:f>
        <x:v>10174604.449999994</x:v>
      </x:c>
    </x:row>
    <x:row r="1428">
      <x:c r="A1428" s="20" t="n">
        <x:v>46190</x:v>
      </x:c>
      <x:c r="B1428" s="21" t="str">
        <x:v>DP-2026-028034</x:v>
      </x:c>
      <x:c r="C1428" s="21" t="str">
        <x:v>ACH PAYMENT - Kaufman-Williams - DP-2026-028034</x:v>
      </x:c>
      <x:c r="D1428" s="21" t="str">
        <x:v>Supplier payment</x:v>
      </x:c>
      <x:c r="E1428" s="18" t="n">
        <x:v>380.59</x:v>
      </x:c>
      <x:c r="F1428" s="18"/>
      <x:c r="G1428" s="18" t="n">
        <x:v>-380.59</x:v>
      </x:c>
      <x:c r="H1428" s="18" t="n">
        <x:f>H1427+G1428</x:f>
        <x:v>10174223.859999994</x:v>
      </x:c>
    </x:row>
    <x:row r="1429">
      <x:c r="A1429" s="20" t="n">
        <x:v>46190</x:v>
      </x:c>
      <x:c r="B1429" s="21" t="str">
        <x:v>DP-2026-028045</x:v>
      </x:c>
      <x:c r="C1429" s="21" t="str">
        <x:v>ACH PAYMENT - Munoz, Garcia and Olsen - DP-2026-028045</x:v>
      </x:c>
      <x:c r="D1429" s="21" t="str">
        <x:v>Supplier payment</x:v>
      </x:c>
      <x:c r="E1429" s="18" t="n">
        <x:v>349.56</x:v>
      </x:c>
      <x:c r="F1429" s="18"/>
      <x:c r="G1429" s="18" t="n">
        <x:v>-349.56</x:v>
      </x:c>
      <x:c r="H1429" s="18" t="n">
        <x:f>H1428+G1429</x:f>
        <x:v>10173874.299999993</x:v>
      </x:c>
    </x:row>
    <x:row r="1430">
      <x:c r="A1430" s="20" t="n">
        <x:v>46190</x:v>
      </x:c>
      <x:c r="B1430" s="21" t="str">
        <x:v>DP-2026-028058</x:v>
      </x:c>
      <x:c r="C1430" s="21" t="str">
        <x:v>ACH PAYMENT - Brooks, Johnson and Olson - DP-2026-028058</x:v>
      </x:c>
      <x:c r="D1430" s="21" t="str">
        <x:v>Supplier payment</x:v>
      </x:c>
      <x:c r="E1430" s="18" t="n">
        <x:v>195.08</x:v>
      </x:c>
      <x:c r="F1430" s="18"/>
      <x:c r="G1430" s="18" t="n">
        <x:v>-195.08</x:v>
      </x:c>
      <x:c r="H1430" s="18" t="n">
        <x:f>H1429+G1430</x:f>
        <x:v>10173679.219999993</x:v>
      </x:c>
    </x:row>
    <x:row r="1431">
      <x:c r="A1431" s="20" t="n">
        <x:v>46190</x:v>
      </x:c>
      <x:c r="B1431" s="21" t="str">
        <x:v>DP-2026-028060</x:v>
      </x:c>
      <x:c r="C1431" s="21" t="str">
        <x:v>ACH PAYMENT - Goodwin, Walker and Scott - DP-2026-028060</x:v>
      </x:c>
      <x:c r="D1431" s="21" t="str">
        <x:v>Supplier payment</x:v>
      </x:c>
      <x:c r="E1431" s="18" t="n">
        <x:v>1217.87</x:v>
      </x:c>
      <x:c r="F1431" s="18"/>
      <x:c r="G1431" s="18" t="n">
        <x:v>-1217.87</x:v>
      </x:c>
      <x:c r="H1431" s="18" t="n">
        <x:f>H1430+G1431</x:f>
        <x:v>10172461.349999994</x:v>
      </x:c>
    </x:row>
    <x:row r="1432">
      <x:c r="A1432" s="20" t="n">
        <x:v>46190</x:v>
      </x:c>
      <x:c r="B1432" s="21" t="str">
        <x:v>DP-2026-028071</x:v>
      </x:c>
      <x:c r="C1432" s="21" t="str">
        <x:v>ACH PAYMENT - Williams, Baker and Santos - DP-2026-028071</x:v>
      </x:c>
      <x:c r="D1432" s="21" t="str">
        <x:v>Supplier payment</x:v>
      </x:c>
      <x:c r="E1432" s="18" t="n">
        <x:v>2160.24</x:v>
      </x:c>
      <x:c r="F1432" s="18"/>
      <x:c r="G1432" s="18" t="n">
        <x:v>-2160.24</x:v>
      </x:c>
      <x:c r="H1432" s="18" t="n">
        <x:f>H1431+G1432</x:f>
        <x:v>10170301.109999994</x:v>
      </x:c>
    </x:row>
    <x:row r="1433">
      <x:c r="A1433" s="20" t="n">
        <x:v>46190</x:v>
      </x:c>
      <x:c r="B1433" s="21" t="str">
        <x:v>DP-2026-028086</x:v>
      </x:c>
      <x:c r="C1433" s="21" t="str">
        <x:v>ACH PAYMENT - Jones Group - DP-2026-028086</x:v>
      </x:c>
      <x:c r="D1433" s="21" t="str">
        <x:v>Supplier payment</x:v>
      </x:c>
      <x:c r="E1433" s="18" t="n">
        <x:v>194.27</x:v>
      </x:c>
      <x:c r="F1433" s="18"/>
      <x:c r="G1433" s="18" t="n">
        <x:v>-194.27</x:v>
      </x:c>
      <x:c r="H1433" s="18" t="n">
        <x:f>H1432+G1433</x:f>
        <x:v>10170106.839999994</x:v>
      </x:c>
    </x:row>
    <x:row r="1434">
      <x:c r="A1434" s="20" t="n">
        <x:v>46190</x:v>
      </x:c>
      <x:c r="B1434" s="21" t="str">
        <x:v>DP-2026-028098</x:v>
      </x:c>
      <x:c r="C1434" s="21" t="str">
        <x:v>ACH PAYMENT - Hoffman LLC - DP-2026-028098</x:v>
      </x:c>
      <x:c r="D1434" s="21" t="str">
        <x:v>Supplier payment</x:v>
      </x:c>
      <x:c r="E1434" s="18" t="n">
        <x:v>555.09</x:v>
      </x:c>
      <x:c r="F1434" s="18"/>
      <x:c r="G1434" s="18" t="n">
        <x:v>-555.09</x:v>
      </x:c>
      <x:c r="H1434" s="18" t="n">
        <x:f>H1433+G1434</x:f>
        <x:v>10169551.749999994</x:v>
      </x:c>
    </x:row>
    <x:row r="1435">
      <x:c r="A1435" s="20" t="n">
        <x:v>46190</x:v>
      </x:c>
      <x:c r="B1435" s="21" t="str">
        <x:v>DP-2026-028143</x:v>
      </x:c>
      <x:c r="C1435" s="21" t="str">
        <x:v>ACH PAYMENT - Velasquez-Baxter - DP-2026-028143</x:v>
      </x:c>
      <x:c r="D1435" s="21" t="str">
        <x:v>Supplier payment</x:v>
      </x:c>
      <x:c r="E1435" s="18" t="n">
        <x:v>2026.86</x:v>
      </x:c>
      <x:c r="F1435" s="18"/>
      <x:c r="G1435" s="18" t="n">
        <x:v>-2026.86</x:v>
      </x:c>
      <x:c r="H1435" s="18" t="n">
        <x:f>H1434+G1435</x:f>
        <x:v>10167524.889999995</x:v>
      </x:c>
    </x:row>
    <x:row r="1436">
      <x:c r="A1436" s="20" t="n">
        <x:v>46190</x:v>
      </x:c>
      <x:c r="B1436" s="21" t="str">
        <x:v>DP-2026-028221</x:v>
      </x:c>
      <x:c r="C1436" s="21" t="str">
        <x:v>ACH PAYMENT - Lindsey and Sons - DP-2026-028221</x:v>
      </x:c>
      <x:c r="D1436" s="21" t="str">
        <x:v>Supplier payment</x:v>
      </x:c>
      <x:c r="E1436" s="18" t="n">
        <x:v>240.44</x:v>
      </x:c>
      <x:c r="F1436" s="18"/>
      <x:c r="G1436" s="18" t="n">
        <x:v>-240.44</x:v>
      </x:c>
      <x:c r="H1436" s="18" t="n">
        <x:f>H1435+G1436</x:f>
        <x:v>10167284.449999996</x:v>
      </x:c>
    </x:row>
    <x:row r="1437">
      <x:c r="A1437" s="20" t="n">
        <x:v>46190</x:v>
      </x:c>
      <x:c r="B1437" s="21" t="str">
        <x:v>DP-2026-028228</x:v>
      </x:c>
      <x:c r="C1437" s="21" t="str">
        <x:v>WIRE TRANSFER PAYMENT - Goodwin, Walker and Scott - DP-2026-028228</x:v>
      </x:c>
      <x:c r="D1437" s="21" t="str">
        <x:v>Supplier payment</x:v>
      </x:c>
      <x:c r="E1437" s="18" t="n">
        <x:v>343.51</x:v>
      </x:c>
      <x:c r="F1437" s="18"/>
      <x:c r="G1437" s="18" t="n">
        <x:v>-343.51</x:v>
      </x:c>
      <x:c r="H1437" s="18" t="n">
        <x:f>H1436+G1437</x:f>
        <x:v>10166940.939999996</x:v>
      </x:c>
    </x:row>
    <x:row r="1438">
      <x:c r="A1438" s="20" t="n">
        <x:v>46190</x:v>
      </x:c>
      <x:c r="B1438" s="21" t="str">
        <x:v>DP-2026-028240</x:v>
      </x:c>
      <x:c r="C1438" s="21" t="str">
        <x:v>ACH PAYMENT - Morris-Taylor - DP-2026-028240</x:v>
      </x:c>
      <x:c r="D1438" s="21" t="str">
        <x:v>Supplier payment</x:v>
      </x:c>
      <x:c r="E1438" s="18" t="n">
        <x:v>297.34</x:v>
      </x:c>
      <x:c r="F1438" s="18"/>
      <x:c r="G1438" s="18" t="n">
        <x:v>-297.34</x:v>
      </x:c>
      <x:c r="H1438" s="18" t="n">
        <x:f>H1437+G1438</x:f>
        <x:v>10166643.599999996</x:v>
      </x:c>
    </x:row>
    <x:row r="1439">
      <x:c r="A1439" s="20" t="n">
        <x:v>46190</x:v>
      </x:c>
      <x:c r="B1439" s="21" t="str">
        <x:v>DP-2026-028267</x:v>
      </x:c>
      <x:c r="C1439" s="21" t="str">
        <x:v>ACH PAYMENT - Hester Ltd - DP-2026-028267</x:v>
      </x:c>
      <x:c r="D1439" s="21" t="str">
        <x:v>Supplier payment</x:v>
      </x:c>
      <x:c r="E1439" s="18" t="n">
        <x:v>99.88</x:v>
      </x:c>
      <x:c r="F1439" s="18"/>
      <x:c r="G1439" s="18" t="n">
        <x:v>-99.88</x:v>
      </x:c>
      <x:c r="H1439" s="18" t="n">
        <x:f>H1438+G1439</x:f>
        <x:v>10166543.719999995</x:v>
      </x:c>
    </x:row>
    <x:row r="1440">
      <x:c r="A1440" s="20" t="n">
        <x:v>46190</x:v>
      </x:c>
      <x:c r="B1440" s="21" t="str">
        <x:v>DP-2026-028366</x:v>
      </x:c>
      <x:c r="C1440" s="21" t="str">
        <x:v>ACH PAYMENT - Perez, Schultz and Ward - DP-2026-028366</x:v>
      </x:c>
      <x:c r="D1440" s="21" t="str">
        <x:v>Supplier payment</x:v>
      </x:c>
      <x:c r="E1440" s="18" t="n">
        <x:v>371.77</x:v>
      </x:c>
      <x:c r="F1440" s="18"/>
      <x:c r="G1440" s="18" t="n">
        <x:v>-371.77</x:v>
      </x:c>
      <x:c r="H1440" s="18" t="n">
        <x:f>H1439+G1440</x:f>
        <x:v>10166171.949999996</x:v>
      </x:c>
    </x:row>
    <x:row r="1441">
      <x:c r="A1441" s="20" t="n">
        <x:v>46190</x:v>
      </x:c>
      <x:c r="B1441" s="21" t="str">
        <x:v>DP-2026-028387</x:v>
      </x:c>
      <x:c r="C1441" s="21" t="str">
        <x:v>ACH PAYMENT - Garcia Group - DP-2026-028387</x:v>
      </x:c>
      <x:c r="D1441" s="21" t="str">
        <x:v>Supplier payment</x:v>
      </x:c>
      <x:c r="E1441" s="18" t="n">
        <x:v>1193.43</x:v>
      </x:c>
      <x:c r="F1441" s="18"/>
      <x:c r="G1441" s="18" t="n">
        <x:v>-1193.43</x:v>
      </x:c>
      <x:c r="H1441" s="18" t="n">
        <x:f>H1440+G1441</x:f>
        <x:v>10164978.519999996</x:v>
      </x:c>
    </x:row>
    <x:row r="1442">
      <x:c r="A1442" s="20" t="n">
        <x:v>46191</x:v>
      </x:c>
      <x:c r="B1442" s="21" t="str">
        <x:v>AR00005934</x:v>
      </x:c>
      <x:c r="C1442" s="21" t="str">
        <x:v>CUSTOMER DEPOSIT - Berry-Parks - CR-2026-005934</x:v>
      </x:c>
      <x:c r="D1442" s="21" t="str">
        <x:v>Customer deposit</x:v>
      </x:c>
      <x:c r="E1442" s="18"/>
      <x:c r="F1442" s="18" t="n">
        <x:v>7853.57</x:v>
      </x:c>
      <x:c r="G1442" s="18" t="n">
        <x:v>7853.57</x:v>
      </x:c>
      <x:c r="H1442" s="18" t="n">
        <x:f>H1441+G1442</x:f>
        <x:v>10172832.089999996</x:v>
      </x:c>
    </x:row>
    <x:row r="1443">
      <x:c r="A1443" s="20" t="n">
        <x:v>46191</x:v>
      </x:c>
      <x:c r="B1443" s="21" t="str">
        <x:v>AR00006011</x:v>
      </x:c>
      <x:c r="C1443" s="21" t="str">
        <x:v>CUSTOMER DEPOSIT - Hurst-Merritt - CR-2026-006011</x:v>
      </x:c>
      <x:c r="D1443" s="21" t="str">
        <x:v>Customer deposit</x:v>
      </x:c>
      <x:c r="E1443" s="18"/>
      <x:c r="F1443" s="18" t="n">
        <x:v>2571.9</x:v>
      </x:c>
      <x:c r="G1443" s="18" t="n">
        <x:v>2571.9</x:v>
      </x:c>
      <x:c r="H1443" s="18" t="n">
        <x:f>H1442+G1443</x:f>
        <x:v>10175403.989999996</x:v>
      </x:c>
    </x:row>
    <x:row r="1444">
      <x:c r="A1444" s="20" t="n">
        <x:v>46191</x:v>
      </x:c>
      <x:c r="B1444" s="21" t="str">
        <x:v>AR00006020</x:v>
      </x:c>
      <x:c r="C1444" s="21" t="str">
        <x:v>CUSTOMER DEPOSIT - King, Smith and Freeman - CR-2026-006020</x:v>
      </x:c>
      <x:c r="D1444" s="21" t="str">
        <x:v>Customer deposit</x:v>
      </x:c>
      <x:c r="E1444" s="18"/>
      <x:c r="F1444" s="18" t="n">
        <x:v>12294.24</x:v>
      </x:c>
      <x:c r="G1444" s="18" t="n">
        <x:v>12294.24</x:v>
      </x:c>
      <x:c r="H1444" s="18" t="n">
        <x:f>H1443+G1444</x:f>
        <x:v>10187698.229999997</x:v>
      </x:c>
    </x:row>
    <x:row r="1445">
      <x:c r="A1445" s="20" t="n">
        <x:v>46191</x:v>
      </x:c>
      <x:c r="B1445" s="21" t="str">
        <x:v>AR00006021</x:v>
      </x:c>
      <x:c r="C1445" s="21" t="str">
        <x:v>CUSTOMER DEPOSIT - Atkins, Garrett and Smith - CR-2026-006021</x:v>
      </x:c>
      <x:c r="D1445" s="21" t="str">
        <x:v>Customer deposit</x:v>
      </x:c>
      <x:c r="E1445" s="18"/>
      <x:c r="F1445" s="18" t="n">
        <x:v>9829.03</x:v>
      </x:c>
      <x:c r="G1445" s="18" t="n">
        <x:v>9829.03</x:v>
      </x:c>
      <x:c r="H1445" s="18" t="n">
        <x:f>H1444+G1445</x:f>
        <x:v>10197527.259999996</x:v>
      </x:c>
    </x:row>
    <x:row r="1446">
      <x:c r="A1446" s="20" t="n">
        <x:v>46191</x:v>
      </x:c>
      <x:c r="B1446" s="21" t="str">
        <x:v>AR00006031</x:v>
      </x:c>
      <x:c r="C1446" s="21" t="str">
        <x:v>CUSTOMER DEPOSIT - Lee-Clayton - CR-2026-006031</x:v>
      </x:c>
      <x:c r="D1446" s="21" t="str">
        <x:v>Customer deposit</x:v>
      </x:c>
      <x:c r="E1446" s="18"/>
      <x:c r="F1446" s="18" t="n">
        <x:v>18536.76</x:v>
      </x:c>
      <x:c r="G1446" s="18" t="n">
        <x:v>18536.76</x:v>
      </x:c>
      <x:c r="H1446" s="18" t="n">
        <x:f>H1445+G1446</x:f>
        <x:v>10216064.019999996</x:v>
      </x:c>
    </x:row>
    <x:row r="1447">
      <x:c r="A1447" s="20" t="n">
        <x:v>46191</x:v>
      </x:c>
      <x:c r="B1447" s="21" t="str">
        <x:v>AR00006069</x:v>
      </x:c>
      <x:c r="C1447" s="21" t="str">
        <x:v>CUSTOMER DEPOSIT - Osborne LLC - CR-2026-006069</x:v>
      </x:c>
      <x:c r="D1447" s="21" t="str">
        <x:v>Customer deposit</x:v>
      </x:c>
      <x:c r="E1447" s="18"/>
      <x:c r="F1447" s="18" t="n">
        <x:v>8728.92</x:v>
      </x:c>
      <x:c r="G1447" s="18" t="n">
        <x:v>8728.92</x:v>
      </x:c>
      <x:c r="H1447" s="18" t="n">
        <x:f>H1446+G1447</x:f>
        <x:v>10224792.939999996</x:v>
      </x:c>
    </x:row>
    <x:row r="1448">
      <x:c r="A1448" s="20" t="n">
        <x:v>46191</x:v>
      </x:c>
      <x:c r="B1448" s="21" t="str">
        <x:v>AR00006074</x:v>
      </x:c>
      <x:c r="C1448" s="21" t="str">
        <x:v>CUSTOMER DEPOSIT - Fernandez-Preston - CR-2026-006074</x:v>
      </x:c>
      <x:c r="D1448" s="21" t="str">
        <x:v>Customer deposit</x:v>
      </x:c>
      <x:c r="E1448" s="18"/>
      <x:c r="F1448" s="18" t="n">
        <x:v>5467.21</x:v>
      </x:c>
      <x:c r="G1448" s="18" t="n">
        <x:v>5467.21</x:v>
      </x:c>
      <x:c r="H1448" s="18" t="n">
        <x:f>H1447+G1448</x:f>
        <x:v>10230260.149999997</x:v>
      </x:c>
    </x:row>
    <x:row r="1449">
      <x:c r="A1449" s="20" t="n">
        <x:v>46191</x:v>
      </x:c>
      <x:c r="B1449" s="21" t="str">
        <x:v>AR00006075</x:v>
      </x:c>
      <x:c r="C1449" s="21" t="str">
        <x:v>CUSTOMER DEPOSIT - Warren Group - CR-2026-006075</x:v>
      </x:c>
      <x:c r="D1449" s="21" t="str">
        <x:v>Customer deposit</x:v>
      </x:c>
      <x:c r="E1449" s="18"/>
      <x:c r="F1449" s="18" t="n">
        <x:v>7250.9</x:v>
      </x:c>
      <x:c r="G1449" s="18" t="n">
        <x:v>7250.9</x:v>
      </x:c>
      <x:c r="H1449" s="18" t="n">
        <x:f>H1448+G1449</x:f>
        <x:v>10237511.049999997</x:v>
      </x:c>
    </x:row>
    <x:row r="1450">
      <x:c r="A1450" s="20" t="n">
        <x:v>46191</x:v>
      </x:c>
      <x:c r="B1450" s="21" t="str">
        <x:v>AR00006085</x:v>
      </x:c>
      <x:c r="C1450" s="21" t="str">
        <x:v>CUSTOMER DEPOSIT - Knapp, King and Ortega - CR-2026-006085</x:v>
      </x:c>
      <x:c r="D1450" s="21" t="str">
        <x:v>Customer deposit</x:v>
      </x:c>
      <x:c r="E1450" s="18"/>
      <x:c r="F1450" s="18" t="n">
        <x:v>13616.56</x:v>
      </x:c>
      <x:c r="G1450" s="18" t="n">
        <x:v>13616.56</x:v>
      </x:c>
      <x:c r="H1450" s="18" t="n">
        <x:f>H1449+G1450</x:f>
        <x:v>10251127.609999998</x:v>
      </x:c>
    </x:row>
    <x:row r="1451">
      <x:c r="A1451" s="20" t="n">
        <x:v>46191</x:v>
      </x:c>
      <x:c r="B1451" s="21" t="str">
        <x:v>AR00006101</x:v>
      </x:c>
      <x:c r="C1451" s="21" t="str">
        <x:v>CUSTOMER DEPOSIT - Aguilar-Gonzalez - CR-2026-006101</x:v>
      </x:c>
      <x:c r="D1451" s="21" t="str">
        <x:v>Customer deposit</x:v>
      </x:c>
      <x:c r="E1451" s="18"/>
      <x:c r="F1451" s="18" t="n">
        <x:v>14616.66</x:v>
      </x:c>
      <x:c r="G1451" s="18" t="n">
        <x:v>14616.66</x:v>
      </x:c>
      <x:c r="H1451" s="18" t="n">
        <x:f>H1450+G1451</x:f>
        <x:v>10265744.269999998</x:v>
      </x:c>
    </x:row>
    <x:row r="1452">
      <x:c r="A1452" s="20" t="n">
        <x:v>46191</x:v>
      </x:c>
      <x:c r="B1452" s="21" t="str">
        <x:v>CHK0027154</x:v>
      </x:c>
      <x:c r="C1452" s="21" t="str">
        <x:v>CHECK PAYMENT - Chambers PLC - DP-2026-027154</x:v>
      </x:c>
      <x:c r="D1452" s="21" t="str">
        <x:v>Supplier payment</x:v>
      </x:c>
      <x:c r="E1452" s="18" t="n">
        <x:v>537.12</x:v>
      </x:c>
      <x:c r="F1452" s="18"/>
      <x:c r="G1452" s="18" t="n">
        <x:v>-537.12</x:v>
      </x:c>
      <x:c r="H1452" s="18" t="n">
        <x:f>H1451+G1452</x:f>
        <x:v>10265207.149999999</x:v>
      </x:c>
    </x:row>
    <x:row r="1453">
      <x:c r="A1453" s="20" t="n">
        <x:v>46191</x:v>
      </x:c>
      <x:c r="B1453" s="21" t="str">
        <x:v>CHK0028025</x:v>
      </x:c>
      <x:c r="C1453" s="21" t="str">
        <x:v>CHECK PAYMENT - Williams, Baker and Santos - DP-2026-028025</x:v>
      </x:c>
      <x:c r="D1453" s="21" t="str">
        <x:v>Supplier payment</x:v>
      </x:c>
      <x:c r="E1453" s="18" t="n">
        <x:v>1096.99</x:v>
      </x:c>
      <x:c r="F1453" s="18"/>
      <x:c r="G1453" s="18" t="n">
        <x:v>-1096.99</x:v>
      </x:c>
      <x:c r="H1453" s="18" t="n">
        <x:f>H1452+G1453</x:f>
        <x:v>10264110.159999998</x:v>
      </x:c>
    </x:row>
    <x:row r="1454">
      <x:c r="A1454" s="20" t="n">
        <x:v>46191</x:v>
      </x:c>
      <x:c r="B1454" s="21" t="str">
        <x:v>CHK0028056</x:v>
      </x:c>
      <x:c r="C1454" s="21" t="str">
        <x:v>CHECK PAYMENT - Tucker Group - DP-2026-028056</x:v>
      </x:c>
      <x:c r="D1454" s="21" t="str">
        <x:v>Supplier payment</x:v>
      </x:c>
      <x:c r="E1454" s="18" t="n">
        <x:v>1285.73</x:v>
      </x:c>
      <x:c r="F1454" s="18"/>
      <x:c r="G1454" s="18" t="n">
        <x:v>-1285.73</x:v>
      </x:c>
      <x:c r="H1454" s="18" t="n">
        <x:f>H1453+G1454</x:f>
        <x:v>10262824.429999998</x:v>
      </x:c>
    </x:row>
    <x:row r="1455">
      <x:c r="A1455" s="20" t="n">
        <x:v>46191</x:v>
      </x:c>
      <x:c r="B1455" s="21" t="str">
        <x:v>CHK0028087</x:v>
      </x:c>
      <x:c r="C1455" s="21" t="str">
        <x:v>CHECK PAYMENT - Lindsey and Sons - DP-2026-028087</x:v>
      </x:c>
      <x:c r="D1455" s="21" t="str">
        <x:v>Supplier payment</x:v>
      </x:c>
      <x:c r="E1455" s="18" t="n">
        <x:v>561.73</x:v>
      </x:c>
      <x:c r="F1455" s="18"/>
      <x:c r="G1455" s="18" t="n">
        <x:v>-561.73</x:v>
      </x:c>
      <x:c r="H1455" s="18" t="n">
        <x:f>H1454+G1455</x:f>
        <x:v>10262262.699999997</x:v>
      </x:c>
    </x:row>
    <x:row r="1456">
      <x:c r="A1456" s="20" t="n">
        <x:v>46191</x:v>
      </x:c>
      <x:c r="B1456" s="21" t="str">
        <x:v>CHK0028114</x:v>
      </x:c>
      <x:c r="C1456" s="21" t="str">
        <x:v>CHECK PAYMENT - Potter-Gross - DP-2026-028114</x:v>
      </x:c>
      <x:c r="D1456" s="21" t="str">
        <x:v>Supplier payment</x:v>
      </x:c>
      <x:c r="E1456" s="18" t="n">
        <x:v>48</x:v>
      </x:c>
      <x:c r="F1456" s="18"/>
      <x:c r="G1456" s="18" t="n">
        <x:v>-48</x:v>
      </x:c>
      <x:c r="H1456" s="18" t="n">
        <x:f>H1455+G1456</x:f>
        <x:v>10262214.699999997</x:v>
      </x:c>
    </x:row>
    <x:row r="1457">
      <x:c r="A1457" s="20" t="n">
        <x:v>46191</x:v>
      </x:c>
      <x:c r="B1457" s="21" t="str">
        <x:v>CHK0028168</x:v>
      </x:c>
      <x:c r="C1457" s="21" t="str">
        <x:v>CHECK PAYMENT - Salas, Gallagher and Anderson - DP-2026-028168</x:v>
      </x:c>
      <x:c r="D1457" s="21" t="str">
        <x:v>Supplier payment</x:v>
      </x:c>
      <x:c r="E1457" s="18" t="n">
        <x:v>588.67</x:v>
      </x:c>
      <x:c r="F1457" s="18"/>
      <x:c r="G1457" s="18" t="n">
        <x:v>-588.67</x:v>
      </x:c>
      <x:c r="H1457" s="18" t="n">
        <x:f>H1456+G1457</x:f>
        <x:v>10261626.029999997</x:v>
      </x:c>
    </x:row>
    <x:row r="1458">
      <x:c r="A1458" s="20" t="n">
        <x:v>46191</x:v>
      </x:c>
      <x:c r="B1458" s="21" t="str">
        <x:v>CHK0028218</x:v>
      </x:c>
      <x:c r="C1458" s="21" t="str">
        <x:v>CHECK PAYMENT - Garcia Group - DP-2026-028218</x:v>
      </x:c>
      <x:c r="D1458" s="21" t="str">
        <x:v>Supplier payment</x:v>
      </x:c>
      <x:c r="E1458" s="18" t="n">
        <x:v>130.22</x:v>
      </x:c>
      <x:c r="F1458" s="18"/>
      <x:c r="G1458" s="18" t="n">
        <x:v>-130.22</x:v>
      </x:c>
      <x:c r="H1458" s="18" t="n">
        <x:f>H1457+G1458</x:f>
        <x:v>10261495.809999997</x:v>
      </x:c>
    </x:row>
    <x:row r="1459">
      <x:c r="A1459" s="20" t="n">
        <x:v>46191</x:v>
      </x:c>
      <x:c r="B1459" s="21" t="str">
        <x:v>CHK0028229</x:v>
      </x:c>
      <x:c r="C1459" s="21" t="str">
        <x:v>CHECK PAYMENT - Torres Ltd - DP-2026-028229</x:v>
      </x:c>
      <x:c r="D1459" s="21" t="str">
        <x:v>Supplier payment</x:v>
      </x:c>
      <x:c r="E1459" s="18" t="n">
        <x:v>757.3</x:v>
      </x:c>
      <x:c r="F1459" s="18"/>
      <x:c r="G1459" s="18" t="n">
        <x:v>-757.3</x:v>
      </x:c>
      <x:c r="H1459" s="18" t="n">
        <x:f>H1458+G1459</x:f>
        <x:v>10260738.509999996</x:v>
      </x:c>
    </x:row>
    <x:row r="1460">
      <x:c r="A1460" s="20" t="n">
        <x:v>46191</x:v>
      </x:c>
      <x:c r="B1460" s="21" t="str">
        <x:v>CHK0028236</x:v>
      </x:c>
      <x:c r="C1460" s="21" t="str">
        <x:v>CHECK PAYMENT - Keith PLC - DP-2026-028236</x:v>
      </x:c>
      <x:c r="D1460" s="21" t="str">
        <x:v>Supplier payment</x:v>
      </x:c>
      <x:c r="E1460" s="18" t="n">
        <x:v>756.53</x:v>
      </x:c>
      <x:c r="F1460" s="18"/>
      <x:c r="G1460" s="18" t="n">
        <x:v>-756.53</x:v>
      </x:c>
      <x:c r="H1460" s="18" t="n">
        <x:f>H1459+G1460</x:f>
        <x:v>10259981.979999997</x:v>
      </x:c>
    </x:row>
    <x:row r="1461">
      <x:c r="A1461" s="20" t="n">
        <x:v>46191</x:v>
      </x:c>
      <x:c r="B1461" s="21" t="str">
        <x:v>CHK0028251</x:v>
      </x:c>
      <x:c r="C1461" s="21" t="str">
        <x:v>CHECK PAYMENT - Collins-Johnson - DP-2026-028251</x:v>
      </x:c>
      <x:c r="D1461" s="21" t="str">
        <x:v>Supplier payment</x:v>
      </x:c>
      <x:c r="E1461" s="18" t="n">
        <x:v>493.64</x:v>
      </x:c>
      <x:c r="F1461" s="18"/>
      <x:c r="G1461" s="18" t="n">
        <x:v>-493.64</x:v>
      </x:c>
      <x:c r="H1461" s="18" t="n">
        <x:f>H1460+G1461</x:f>
        <x:v>10259488.339999996</x:v>
      </x:c>
    </x:row>
    <x:row r="1462">
      <x:c r="A1462" s="20" t="n">
        <x:v>46191</x:v>
      </x:c>
      <x:c r="B1462" s="21" t="str">
        <x:v>CHK0028319</x:v>
      </x:c>
      <x:c r="C1462" s="21" t="str">
        <x:v>CHECK PAYMENT - Hernandez, Melendez and Mcdowell - DP-2026-028319</x:v>
      </x:c>
      <x:c r="D1462" s="21" t="str">
        <x:v>Supplier payment</x:v>
      </x:c>
      <x:c r="E1462" s="18" t="n">
        <x:v>218.17</x:v>
      </x:c>
      <x:c r="F1462" s="18"/>
      <x:c r="G1462" s="18" t="n">
        <x:v>-218.17</x:v>
      </x:c>
      <x:c r="H1462" s="18" t="n">
        <x:f>H1461+G1462</x:f>
        <x:v>10259270.169999996</x:v>
      </x:c>
    </x:row>
    <x:row r="1463">
      <x:c r="A1463" s="20" t="n">
        <x:v>46191</x:v>
      </x:c>
      <x:c r="B1463" s="21" t="str">
        <x:v>DP-2026-027150</x:v>
      </x:c>
      <x:c r="C1463" s="21" t="str">
        <x:v>ACH PAYMENT - Keith PLC - DP-2026-027150</x:v>
      </x:c>
      <x:c r="D1463" s="21" t="str">
        <x:v>Supplier payment</x:v>
      </x:c>
      <x:c r="E1463" s="18" t="n">
        <x:v>1069.76</x:v>
      </x:c>
      <x:c r="F1463" s="18"/>
      <x:c r="G1463" s="18" t="n">
        <x:v>-1069.76</x:v>
      </x:c>
      <x:c r="H1463" s="18" t="n">
        <x:f>H1462+G1463</x:f>
        <x:v>10258200.409999996</x:v>
      </x:c>
    </x:row>
    <x:row r="1464">
      <x:c r="A1464" s="20" t="n">
        <x:v>46191</x:v>
      </x:c>
      <x:c r="B1464" s="21" t="str">
        <x:v>DP-2026-027156</x:v>
      </x:c>
      <x:c r="C1464" s="21" t="str">
        <x:v>ACH PAYMENT - Hester Ltd - DP-2026-027156</x:v>
      </x:c>
      <x:c r="D1464" s="21" t="str">
        <x:v>Supplier payment</x:v>
      </x:c>
      <x:c r="E1464" s="18" t="n">
        <x:v>241.52</x:v>
      </x:c>
      <x:c r="F1464" s="18"/>
      <x:c r="G1464" s="18" t="n">
        <x:v>-241.52</x:v>
      </x:c>
      <x:c r="H1464" s="18" t="n">
        <x:f>H1463+G1464</x:f>
        <x:v>10257958.889999997</x:v>
      </x:c>
    </x:row>
    <x:row r="1465">
      <x:c r="A1465" s="20" t="n">
        <x:v>46191</x:v>
      </x:c>
      <x:c r="B1465" s="21" t="str">
        <x:v>DP-2026-028038</x:v>
      </x:c>
      <x:c r="C1465" s="21" t="str">
        <x:v>ACH PAYMENT - Tucker Group - DP-2026-028038</x:v>
      </x:c>
      <x:c r="D1465" s="21" t="str">
        <x:v>Supplier payment</x:v>
      </x:c>
      <x:c r="E1465" s="18" t="n">
        <x:v>405.97</x:v>
      </x:c>
      <x:c r="F1465" s="18"/>
      <x:c r="G1465" s="18" t="n">
        <x:v>-405.97</x:v>
      </x:c>
      <x:c r="H1465" s="18" t="n">
        <x:f>H1464+G1465</x:f>
        <x:v>10257552.919999996</x:v>
      </x:c>
    </x:row>
    <x:row r="1466">
      <x:c r="A1466" s="20" t="n">
        <x:v>46191</x:v>
      </x:c>
      <x:c r="B1466" s="21" t="str">
        <x:v>DP-2026-028051</x:v>
      </x:c>
      <x:c r="C1466" s="21" t="str">
        <x:v>ACH PAYMENT - Hoffman LLC - DP-2026-028051</x:v>
      </x:c>
      <x:c r="D1466" s="21" t="str">
        <x:v>Supplier payment</x:v>
      </x:c>
      <x:c r="E1466" s="18" t="n">
        <x:v>208.62</x:v>
      </x:c>
      <x:c r="F1466" s="18"/>
      <x:c r="G1466" s="18" t="n">
        <x:v>-208.62</x:v>
      </x:c>
      <x:c r="H1466" s="18" t="n">
        <x:f>H1465+G1466</x:f>
        <x:v>10257344.299999997</x:v>
      </x:c>
    </x:row>
    <x:row r="1467">
      <x:c r="A1467" s="20" t="n">
        <x:v>46191</x:v>
      </x:c>
      <x:c r="B1467" s="21" t="str">
        <x:v>DP-2026-028076</x:v>
      </x:c>
      <x:c r="C1467" s="21" t="str">
        <x:v>ACH PAYMENT - Smith-Ray - DP-2026-028076</x:v>
      </x:c>
      <x:c r="D1467" s="21" t="str">
        <x:v>Supplier payment</x:v>
      </x:c>
      <x:c r="E1467" s="18" t="n">
        <x:v>727.04</x:v>
      </x:c>
      <x:c r="F1467" s="18"/>
      <x:c r="G1467" s="18" t="n">
        <x:v>-727.04</x:v>
      </x:c>
      <x:c r="H1467" s="18" t="n">
        <x:f>H1466+G1467</x:f>
        <x:v>10256617.259999998</x:v>
      </x:c>
    </x:row>
    <x:row r="1468">
      <x:c r="A1468" s="20" t="n">
        <x:v>46191</x:v>
      </x:c>
      <x:c r="B1468" s="21" t="str">
        <x:v>DP-2026-028103</x:v>
      </x:c>
      <x:c r="C1468" s="21" t="str">
        <x:v>ACH PAYMENT - Coffey Group - DP-2026-028103</x:v>
      </x:c>
      <x:c r="D1468" s="21" t="str">
        <x:v>Supplier payment</x:v>
      </x:c>
      <x:c r="E1468" s="18" t="n">
        <x:v>78.15</x:v>
      </x:c>
      <x:c r="F1468" s="18"/>
      <x:c r="G1468" s="18" t="n">
        <x:v>-78.15</x:v>
      </x:c>
      <x:c r="H1468" s="18" t="n">
        <x:f>H1467+G1468</x:f>
        <x:v>10256539.109999998</x:v>
      </x:c>
    </x:row>
    <x:row r="1469">
      <x:c r="A1469" s="20" t="n">
        <x:v>46191</x:v>
      </x:c>
      <x:c r="B1469" s="21" t="str">
        <x:v>DP-2026-028149</x:v>
      </x:c>
      <x:c r="C1469" s="21" t="str">
        <x:v>WIRE TRANSFER PAYMENT - Collins-Johnson - DP-2026-028149</x:v>
      </x:c>
      <x:c r="D1469" s="21" t="str">
        <x:v>Supplier payment</x:v>
      </x:c>
      <x:c r="E1469" s="18" t="n">
        <x:v>873.31</x:v>
      </x:c>
      <x:c r="F1469" s="18"/>
      <x:c r="G1469" s="18" t="n">
        <x:v>-873.31</x:v>
      </x:c>
      <x:c r="H1469" s="18" t="n">
        <x:f>H1468+G1469</x:f>
        <x:v>10255665.799999997</x:v>
      </x:c>
    </x:row>
    <x:row r="1470">
      <x:c r="A1470" s="20" t="n">
        <x:v>46191</x:v>
      </x:c>
      <x:c r="B1470" s="21" t="str">
        <x:v>DP-2026-028155</x:v>
      </x:c>
      <x:c r="C1470" s="21" t="str">
        <x:v>ACH PAYMENT - Brooks, Johnson and Olson - DP-2026-028155</x:v>
      </x:c>
      <x:c r="D1470" s="21" t="str">
        <x:v>Supplier payment</x:v>
      </x:c>
      <x:c r="E1470" s="18" t="n">
        <x:v>20.96</x:v>
      </x:c>
      <x:c r="F1470" s="18"/>
      <x:c r="G1470" s="18" t="n">
        <x:v>-20.96</x:v>
      </x:c>
      <x:c r="H1470" s="18" t="n">
        <x:f>H1469+G1470</x:f>
        <x:v>10255644.839999996</x:v>
      </x:c>
    </x:row>
    <x:row r="1471">
      <x:c r="A1471" s="20" t="n">
        <x:v>46191</x:v>
      </x:c>
      <x:c r="B1471" s="21" t="str">
        <x:v>DP-2026-028164</x:v>
      </x:c>
      <x:c r="C1471" s="21" t="str">
        <x:v>WIRE TRANSFER PAYMENT - Morris-Taylor - DP-2026-028164</x:v>
      </x:c>
      <x:c r="D1471" s="21" t="str">
        <x:v>Supplier payment</x:v>
      </x:c>
      <x:c r="E1471" s="18" t="n">
        <x:v>7.85</x:v>
      </x:c>
      <x:c r="F1471" s="18"/>
      <x:c r="G1471" s="18" t="n">
        <x:v>-7.85</x:v>
      </x:c>
      <x:c r="H1471" s="18" t="n">
        <x:f>H1470+G1471</x:f>
        <x:v>10255636.989999996</x:v>
      </x:c>
    </x:row>
    <x:row r="1472">
      <x:c r="A1472" s="20" t="n">
        <x:v>46191</x:v>
      </x:c>
      <x:c r="B1472" s="21" t="str">
        <x:v>DP-2026-028178</x:v>
      </x:c>
      <x:c r="C1472" s="21" t="str">
        <x:v>ACH PAYMENT - Tucker Group - DP-2026-028178</x:v>
      </x:c>
      <x:c r="D1472" s="21" t="str">
        <x:v>Supplier payment</x:v>
      </x:c>
      <x:c r="E1472" s="18" t="n">
        <x:v>101.5</x:v>
      </x:c>
      <x:c r="F1472" s="18"/>
      <x:c r="G1472" s="18" t="n">
        <x:v>-101.5</x:v>
      </x:c>
      <x:c r="H1472" s="18" t="n">
        <x:f>H1471+G1472</x:f>
        <x:v>10255535.489999996</x:v>
      </x:c>
    </x:row>
    <x:row r="1473">
      <x:c r="A1473" s="20" t="n">
        <x:v>46191</x:v>
      </x:c>
      <x:c r="B1473" s="21" t="str">
        <x:v>DP-2026-028220</x:v>
      </x:c>
      <x:c r="C1473" s="21" t="str">
        <x:v>ACH PAYMENT - Lindsey and Sons - DP-2026-028220</x:v>
      </x:c>
      <x:c r="D1473" s="21" t="str">
        <x:v>Supplier payment</x:v>
      </x:c>
      <x:c r="E1473" s="18" t="n">
        <x:v>860.03</x:v>
      </x:c>
      <x:c r="F1473" s="18"/>
      <x:c r="G1473" s="18" t="n">
        <x:v>-860.03</x:v>
      </x:c>
      <x:c r="H1473" s="18" t="n">
        <x:f>H1472+G1473</x:f>
        <x:v>10254675.459999997</x:v>
      </x:c>
    </x:row>
    <x:row r="1474">
      <x:c r="A1474" s="20" t="n">
        <x:v>46191</x:v>
      </x:c>
      <x:c r="B1474" s="21" t="str">
        <x:v>DP-2026-028226</x:v>
      </x:c>
      <x:c r="C1474" s="21" t="str">
        <x:v>ACH PAYMENT - Anderson-Noble - DP-2026-028226</x:v>
      </x:c>
      <x:c r="D1474" s="21" t="str">
        <x:v>Supplier payment</x:v>
      </x:c>
      <x:c r="E1474" s="18" t="n">
        <x:v>822.64</x:v>
      </x:c>
      <x:c r="F1474" s="18"/>
      <x:c r="G1474" s="18" t="n">
        <x:v>-822.64</x:v>
      </x:c>
      <x:c r="H1474" s="18" t="n">
        <x:f>H1473+G1474</x:f>
        <x:v>10253852.819999997</x:v>
      </x:c>
    </x:row>
    <x:row r="1475">
      <x:c r="A1475" s="20" t="n">
        <x:v>46191</x:v>
      </x:c>
      <x:c r="B1475" s="21" t="str">
        <x:v>DP-2026-028227</x:v>
      </x:c>
      <x:c r="C1475" s="21" t="str">
        <x:v>ACH PAYMENT - Brooks, Johnson and Olson - DP-2026-028227</x:v>
      </x:c>
      <x:c r="D1475" s="21" t="str">
        <x:v>Supplier payment</x:v>
      </x:c>
      <x:c r="E1475" s="18" t="n">
        <x:v>93.34</x:v>
      </x:c>
      <x:c r="F1475" s="18"/>
      <x:c r="G1475" s="18" t="n">
        <x:v>-93.34</x:v>
      </x:c>
      <x:c r="H1475" s="18" t="n">
        <x:f>H1474+G1475</x:f>
        <x:v>10253759.479999997</x:v>
      </x:c>
    </x:row>
    <x:row r="1476">
      <x:c r="A1476" s="20" t="n">
        <x:v>46191</x:v>
      </x:c>
      <x:c r="B1476" s="21" t="str">
        <x:v>DP-2026-028295</x:v>
      </x:c>
      <x:c r="C1476" s="21" t="str">
        <x:v>WIRE TRANSFER PAYMENT - Colon LLC - DP-2026-028295</x:v>
      </x:c>
      <x:c r="D1476" s="21" t="str">
        <x:v>Supplier payment</x:v>
      </x:c>
      <x:c r="E1476" s="18" t="n">
        <x:v>1116.3</x:v>
      </x:c>
      <x:c r="F1476" s="18"/>
      <x:c r="G1476" s="18" t="n">
        <x:v>-1116.3</x:v>
      </x:c>
      <x:c r="H1476" s="18" t="n">
        <x:f>H1475+G1476</x:f>
        <x:v>10252643.179999996</x:v>
      </x:c>
    </x:row>
    <x:row r="1477">
      <x:c r="A1477" s="20" t="n">
        <x:v>46191</x:v>
      </x:c>
      <x:c r="B1477" s="21" t="str">
        <x:v>DP-2026-028350</x:v>
      </x:c>
      <x:c r="C1477" s="21" t="str">
        <x:v>ACH PAYMENT - Collins-Johnson - DP-2026-028350</x:v>
      </x:c>
      <x:c r="D1477" s="21" t="str">
        <x:v>Supplier payment</x:v>
      </x:c>
      <x:c r="E1477" s="18" t="n">
        <x:v>49.16</x:v>
      </x:c>
      <x:c r="F1477" s="18"/>
      <x:c r="G1477" s="18" t="n">
        <x:v>-49.16</x:v>
      </x:c>
      <x:c r="H1477" s="18" t="n">
        <x:f>H1476+G1477</x:f>
        <x:v>10252594.019999996</x:v>
      </x:c>
    </x:row>
    <x:row r="1478">
      <x:c r="A1478" s="20" t="n">
        <x:v>46191</x:v>
      </x:c>
      <x:c r="B1478" s="21" t="str">
        <x:v>DP-2026-028381</x:v>
      </x:c>
      <x:c r="C1478" s="21" t="str">
        <x:v>ACH PAYMENT - Peters, Terry and Zimmerman - DP-2026-028381</x:v>
      </x:c>
      <x:c r="D1478" s="21" t="str">
        <x:v>Supplier payment</x:v>
      </x:c>
      <x:c r="E1478" s="18" t="n">
        <x:v>390.64</x:v>
      </x:c>
      <x:c r="F1478" s="18"/>
      <x:c r="G1478" s="18" t="n">
        <x:v>-390.64</x:v>
      </x:c>
      <x:c r="H1478" s="18" t="n">
        <x:f>H1477+G1478</x:f>
        <x:v>10252203.379999995</x:v>
      </x:c>
    </x:row>
    <x:row r="1479">
      <x:c r="A1479" s="20" t="n">
        <x:v>46191</x:v>
      </x:c>
      <x:c r="B1479" s="21" t="str">
        <x:v>DP-2026-028392</x:v>
      </x:c>
      <x:c r="C1479" s="21" t="str">
        <x:v>ACH PAYMENT - Chambers PLC - DP-2026-028392</x:v>
      </x:c>
      <x:c r="D1479" s="21" t="str">
        <x:v>Supplier payment</x:v>
      </x:c>
      <x:c r="E1479" s="18" t="n">
        <x:v>716.79</x:v>
      </x:c>
      <x:c r="F1479" s="18"/>
      <x:c r="G1479" s="18" t="n">
        <x:v>-716.79</x:v>
      </x:c>
      <x:c r="H1479" s="18" t="n">
        <x:f>H1478+G1479</x:f>
        <x:v>10251486.589999996</x:v>
      </x:c>
    </x:row>
    <x:row r="1480">
      <x:c r="A1480" s="20" t="n">
        <x:v>46191</x:v>
      </x:c>
      <x:c r="B1480" s="21" t="str">
        <x:v>PLR-2026-000065</x:v>
      </x:c>
      <x:c r="C1480" s="21" t="str">
        <x:v>PAYROLL REMITTANCE - Benefits and Deductions Clearinghouse</x:v>
      </x:c>
      <x:c r="D1480" s="21" t="str">
        <x:v>Payroll remittance</x:v>
      </x:c>
      <x:c r="E1480" s="18" t="n">
        <x:v>22133.46</x:v>
      </x:c>
      <x:c r="F1480" s="18"/>
      <x:c r="G1480" s="18" t="n">
        <x:v>-22133.46</x:v>
      </x:c>
      <x:c r="H1480" s="18" t="n">
        <x:f>H1479+G1480</x:f>
        <x:v>10229353.129999995</x:v>
      </x:c>
    </x:row>
    <x:row r="1481">
      <x:c r="A1481" s="20" t="n">
        <x:v>46191</x:v>
      </x:c>
      <x:c r="B1481" s="21" t="str">
        <x:v>WIRE-0618</x:v>
      </x:c>
      <x:c r="C1481" s="21" t="str">
        <x:v>DOMESTIC WIRE PROCESSING FEE</x:v>
      </x:c>
      <x:c r="D1481" s="21" t="str">
        <x:v>Bank fee</x:v>
      </x:c>
      <x:c r="E1481" s="18" t="n">
        <x:v>45</x:v>
      </x:c>
      <x:c r="F1481" s="18"/>
      <x:c r="G1481" s="18" t="n">
        <x:v>-45</x:v>
      </x:c>
      <x:c r="H1481" s="18" t="n">
        <x:f>H1480+G1481</x:f>
        <x:v>10229308.129999995</x:v>
      </x:c>
    </x:row>
    <x:row r="1482">
      <x:c r="A1482" s="20" t="n">
        <x:v>46192</x:v>
      </x:c>
      <x:c r="B1482" s="21" t="str">
        <x:v>AR00005925</x:v>
      </x:c>
      <x:c r="C1482" s="21" t="str">
        <x:v>CUSTOMER DEPOSIT - Banks, Jacobson and Kemp - CR-2026-005925</x:v>
      </x:c>
      <x:c r="D1482" s="21" t="str">
        <x:v>Customer deposit</x:v>
      </x:c>
      <x:c r="E1482" s="18"/>
      <x:c r="F1482" s="18" t="n">
        <x:v>8665.63</x:v>
      </x:c>
      <x:c r="G1482" s="18" t="n">
        <x:v>8665.63</x:v>
      </x:c>
      <x:c r="H1482" s="18" t="n">
        <x:f>H1481+G1482</x:f>
        <x:v>10237973.759999996</x:v>
      </x:c>
    </x:row>
    <x:row r="1483">
      <x:c r="A1483" s="20" t="n">
        <x:v>46192</x:v>
      </x:c>
      <x:c r="B1483" s="21" t="str">
        <x:v>AR00005936</x:v>
      </x:c>
      <x:c r="C1483" s="21" t="str">
        <x:v>CUSTOMER DEPOSIT - Williamson Inc - CR-2026-005936</x:v>
      </x:c>
      <x:c r="D1483" s="21" t="str">
        <x:v>Customer deposit</x:v>
      </x:c>
      <x:c r="E1483" s="18"/>
      <x:c r="F1483" s="18" t="n">
        <x:v>21453.86</x:v>
      </x:c>
      <x:c r="G1483" s="18" t="n">
        <x:v>21453.86</x:v>
      </x:c>
      <x:c r="H1483" s="18" t="n">
        <x:f>H1482+G1483</x:f>
        <x:v>10259427.619999995</x:v>
      </x:c>
    </x:row>
    <x:row r="1484">
      <x:c r="A1484" s="20" t="n">
        <x:v>46192</x:v>
      </x:c>
      <x:c r="B1484" s="21" t="str">
        <x:v>AR00005937</x:v>
      </x:c>
      <x:c r="C1484" s="21" t="str">
        <x:v>CUSTOMER DEPOSIT - Mitchell, Bennett and Gonzalez - CR-2026-005937</x:v>
      </x:c>
      <x:c r="D1484" s="21" t="str">
        <x:v>Customer deposit</x:v>
      </x:c>
      <x:c r="E1484" s="18"/>
      <x:c r="F1484" s="18" t="n">
        <x:v>9911.87</x:v>
      </x:c>
      <x:c r="G1484" s="18" t="n">
        <x:v>9911.87</x:v>
      </x:c>
      <x:c r="H1484" s="18" t="n">
        <x:f>H1483+G1484</x:f>
        <x:v>10269339.489999995</x:v>
      </x:c>
    </x:row>
    <x:row r="1485">
      <x:c r="A1485" s="20" t="n">
        <x:v>46192</x:v>
      </x:c>
      <x:c r="B1485" s="21" t="str">
        <x:v>AR00005948</x:v>
      </x:c>
      <x:c r="C1485" s="21" t="str">
        <x:v>CUSTOMER DEPOSIT - Gonzalez LLC - CR-2026-005948</x:v>
      </x:c>
      <x:c r="D1485" s="21" t="str">
        <x:v>Customer deposit</x:v>
      </x:c>
      <x:c r="E1485" s="18"/>
      <x:c r="F1485" s="18" t="n">
        <x:v>10918.07</x:v>
      </x:c>
      <x:c r="G1485" s="18" t="n">
        <x:v>10918.07</x:v>
      </x:c>
      <x:c r="H1485" s="18" t="n">
        <x:f>H1484+G1485</x:f>
        <x:v>10280257.559999995</x:v>
      </x:c>
    </x:row>
    <x:row r="1486">
      <x:c r="A1486" s="20" t="n">
        <x:v>46192</x:v>
      </x:c>
      <x:c r="B1486" s="21" t="str">
        <x:v>AR00005949</x:v>
      </x:c>
      <x:c r="C1486" s="21" t="str">
        <x:v>CUSTOMER DEPOSIT - Stephens, Nichols and Deleon - CR-2026-005949</x:v>
      </x:c>
      <x:c r="D1486" s="21" t="str">
        <x:v>Customer deposit</x:v>
      </x:c>
      <x:c r="E1486" s="18"/>
      <x:c r="F1486" s="18" t="n">
        <x:v>929.05</x:v>
      </x:c>
      <x:c r="G1486" s="18" t="n">
        <x:v>929.05</x:v>
      </x:c>
      <x:c r="H1486" s="18" t="n">
        <x:f>H1485+G1486</x:f>
        <x:v>10281186.609999996</x:v>
      </x:c>
    </x:row>
    <x:row r="1487">
      <x:c r="A1487" s="20" t="n">
        <x:v>46192</x:v>
      </x:c>
      <x:c r="B1487" s="21" t="str">
        <x:v>AR00005985</x:v>
      </x:c>
      <x:c r="C1487" s="21" t="str">
        <x:v>CUSTOMER DEPOSIT - Bailey-Lewis - CR-2026-005985</x:v>
      </x:c>
      <x:c r="D1487" s="21" t="str">
        <x:v>Customer deposit</x:v>
      </x:c>
      <x:c r="E1487" s="18"/>
      <x:c r="F1487" s="18" t="n">
        <x:v>12046.16</x:v>
      </x:c>
      <x:c r="G1487" s="18" t="n">
        <x:v>12046.16</x:v>
      </x:c>
      <x:c r="H1487" s="18" t="n">
        <x:f>H1486+G1487</x:f>
        <x:v>10293232.769999996</x:v>
      </x:c>
    </x:row>
    <x:row r="1488">
      <x:c r="A1488" s="20" t="n">
        <x:v>46192</x:v>
      </x:c>
      <x:c r="B1488" s="21" t="str">
        <x:v>AR00005988</x:v>
      </x:c>
      <x:c r="C1488" s="21" t="str">
        <x:v>CUSTOMER DEPOSIT - Gillespie-Walker - CR-2026-005988</x:v>
      </x:c>
      <x:c r="D1488" s="21" t="str">
        <x:v>Customer deposit</x:v>
      </x:c>
      <x:c r="E1488" s="18"/>
      <x:c r="F1488" s="18" t="n">
        <x:v>28583.7</x:v>
      </x:c>
      <x:c r="G1488" s="18" t="n">
        <x:v>28583.7</x:v>
      </x:c>
      <x:c r="H1488" s="18" t="n">
        <x:f>H1487+G1488</x:f>
        <x:v>10321816.469999995</x:v>
      </x:c>
    </x:row>
    <x:row r="1489">
      <x:c r="A1489" s="20" t="n">
        <x:v>46192</x:v>
      </x:c>
      <x:c r="B1489" s="21" t="str">
        <x:v>AR00006007</x:v>
      </x:c>
      <x:c r="C1489" s="21" t="str">
        <x:v>CUSTOMER DEPOSIT - Baldwin Group - CR-2026-006007</x:v>
      </x:c>
      <x:c r="D1489" s="21" t="str">
        <x:v>Customer deposit</x:v>
      </x:c>
      <x:c r="E1489" s="18"/>
      <x:c r="F1489" s="18" t="n">
        <x:v>58977.37</x:v>
      </x:c>
      <x:c r="G1489" s="18" t="n">
        <x:v>58977.37</x:v>
      </x:c>
      <x:c r="H1489" s="18" t="n">
        <x:f>H1488+G1489</x:f>
        <x:v>10380793.839999994</x:v>
      </x:c>
    </x:row>
    <x:row r="1490">
      <x:c r="A1490" s="20" t="n">
        <x:v>46192</x:v>
      </x:c>
      <x:c r="B1490" s="21" t="str">
        <x:v>AR00006041</x:v>
      </x:c>
      <x:c r="C1490" s="21" t="str">
        <x:v>CUSTOMER DEPOSIT - Frazier, Patton and Williams - CR-2026-006041</x:v>
      </x:c>
      <x:c r="D1490" s="21" t="str">
        <x:v>Customer deposit</x:v>
      </x:c>
      <x:c r="E1490" s="18"/>
      <x:c r="F1490" s="18" t="n">
        <x:v>4849.98</x:v>
      </x:c>
      <x:c r="G1490" s="18" t="n">
        <x:v>4849.98</x:v>
      </x:c>
      <x:c r="H1490" s="18" t="n">
        <x:f>H1489+G1490</x:f>
        <x:v>10385643.819999995</x:v>
      </x:c>
    </x:row>
    <x:row r="1491">
      <x:c r="A1491" s="20" t="n">
        <x:v>46192</x:v>
      </x:c>
      <x:c r="B1491" s="21" t="str">
        <x:v>AR00006046</x:v>
      </x:c>
      <x:c r="C1491" s="21" t="str">
        <x:v>CUSTOMER DEPOSIT - Rodriguez Ltd - CR-2026-006046</x:v>
      </x:c>
      <x:c r="D1491" s="21" t="str">
        <x:v>Customer deposit</x:v>
      </x:c>
      <x:c r="E1491" s="18"/>
      <x:c r="F1491" s="18" t="n">
        <x:v>24095.32</x:v>
      </x:c>
      <x:c r="G1491" s="18" t="n">
        <x:v>24095.32</x:v>
      </x:c>
      <x:c r="H1491" s="18" t="n">
        <x:f>H1490+G1491</x:f>
        <x:v>10409739.139999995</x:v>
      </x:c>
    </x:row>
    <x:row r="1492">
      <x:c r="A1492" s="20" t="n">
        <x:v>46192</x:v>
      </x:c>
      <x:c r="B1492" s="21" t="str">
        <x:v>AR00006087</x:v>
      </x:c>
      <x:c r="C1492" s="21" t="str">
        <x:v>CUSTOMER DEPOSIT - Jenkins Ltd - CR-2026-006087</x:v>
      </x:c>
      <x:c r="D1492" s="21" t="str">
        <x:v>Customer deposit</x:v>
      </x:c>
      <x:c r="E1492" s="18"/>
      <x:c r="F1492" s="18" t="n">
        <x:v>4935.64</x:v>
      </x:c>
      <x:c r="G1492" s="18" t="n">
        <x:v>4935.64</x:v>
      </x:c>
      <x:c r="H1492" s="18" t="n">
        <x:f>H1491+G1492</x:f>
        <x:v>10414674.779999996</x:v>
      </x:c>
    </x:row>
    <x:row r="1493">
      <x:c r="A1493" s="20" t="n">
        <x:v>46192</x:v>
      </x:c>
      <x:c r="B1493" s="21" t="str">
        <x:v>AR00006125</x:v>
      </x:c>
      <x:c r="C1493" s="21" t="str">
        <x:v>CUSTOMER DEPOSIT - Williams-Torres - CR-2026-006125</x:v>
      </x:c>
      <x:c r="D1493" s="21" t="str">
        <x:v>Customer deposit</x:v>
      </x:c>
      <x:c r="E1493" s="18"/>
      <x:c r="F1493" s="18" t="n">
        <x:v>5288.48</x:v>
      </x:c>
      <x:c r="G1493" s="18" t="n">
        <x:v>5288.48</x:v>
      </x:c>
      <x:c r="H1493" s="18" t="n">
        <x:f>H1492+G1493</x:f>
        <x:v>10419963.259999996</x:v>
      </x:c>
    </x:row>
    <x:row r="1494">
      <x:c r="A1494" s="20" t="n">
        <x:v>46192</x:v>
      </x:c>
      <x:c r="B1494" s="21" t="str">
        <x:v>CHK0027152</x:v>
      </x:c>
      <x:c r="C1494" s="21" t="str">
        <x:v>CHECK PAYMENT - Brooks, Johnson and Olson - DP-2026-027152</x:v>
      </x:c>
      <x:c r="D1494" s="21" t="str">
        <x:v>Supplier payment</x:v>
      </x:c>
      <x:c r="E1494" s="18" t="n">
        <x:v>369.54</x:v>
      </x:c>
      <x:c r="F1494" s="18"/>
      <x:c r="G1494" s="18" t="n">
        <x:v>-369.54</x:v>
      </x:c>
      <x:c r="H1494" s="18" t="n">
        <x:f>H1493+G1494</x:f>
        <x:v>10419593.719999997</x:v>
      </x:c>
    </x:row>
    <x:row r="1495">
      <x:c r="A1495" s="20" t="n">
        <x:v>46192</x:v>
      </x:c>
      <x:c r="B1495" s="21" t="str">
        <x:v>CHK0028094</x:v>
      </x:c>
      <x:c r="C1495" s="21" t="str">
        <x:v>CHECK PAYMENT - Clayton-Thompson - DP-2026-028094</x:v>
      </x:c>
      <x:c r="D1495" s="21" t="str">
        <x:v>Supplier payment</x:v>
      </x:c>
      <x:c r="E1495" s="18" t="n">
        <x:v>230.31</x:v>
      </x:c>
      <x:c r="F1495" s="18"/>
      <x:c r="G1495" s="18" t="n">
        <x:v>-230.31</x:v>
      </x:c>
      <x:c r="H1495" s="18" t="n">
        <x:f>H1494+G1495</x:f>
        <x:v>10419363.409999996</x:v>
      </x:c>
    </x:row>
    <x:row r="1496">
      <x:c r="A1496" s="20" t="n">
        <x:v>46192</x:v>
      </x:c>
      <x:c r="B1496" s="21" t="str">
        <x:v>CHK0028099</x:v>
      </x:c>
      <x:c r="C1496" s="21" t="str">
        <x:v>CHECK PAYMENT - Marks, Mitchell and Hernandez - DP-2026-028099</x:v>
      </x:c>
      <x:c r="D1496" s="21" t="str">
        <x:v>Supplier payment</x:v>
      </x:c>
      <x:c r="E1496" s="18" t="n">
        <x:v>226</x:v>
      </x:c>
      <x:c r="F1496" s="18"/>
      <x:c r="G1496" s="18" t="n">
        <x:v>-226</x:v>
      </x:c>
      <x:c r="H1496" s="18" t="n">
        <x:f>H1495+G1496</x:f>
        <x:v>10419137.409999996</x:v>
      </x:c>
    </x:row>
    <x:row r="1497">
      <x:c r="A1497" s="20" t="n">
        <x:v>46192</x:v>
      </x:c>
      <x:c r="B1497" s="21" t="str">
        <x:v>CHK0028142</x:v>
      </x:c>
      <x:c r="C1497" s="21" t="str">
        <x:v>CHECK PAYMENT - King Ltd - DP-2026-028142</x:v>
      </x:c>
      <x:c r="D1497" s="21" t="str">
        <x:v>Supplier payment</x:v>
      </x:c>
      <x:c r="E1497" s="18" t="n">
        <x:v>220.24</x:v>
      </x:c>
      <x:c r="F1497" s="18"/>
      <x:c r="G1497" s="18" t="n">
        <x:v>-220.24</x:v>
      </x:c>
      <x:c r="H1497" s="18" t="n">
        <x:f>H1496+G1497</x:f>
        <x:v>10418917.169999996</x:v>
      </x:c>
    </x:row>
    <x:row r="1498">
      <x:c r="A1498" s="20" t="n">
        <x:v>46192</x:v>
      </x:c>
      <x:c r="B1498" s="21" t="str">
        <x:v>CHK0028241</x:v>
      </x:c>
      <x:c r="C1498" s="21" t="str">
        <x:v>CHECK PAYMENT - Hester Ltd - DP-2026-028241</x:v>
      </x:c>
      <x:c r="D1498" s="21" t="str">
        <x:v>Supplier payment</x:v>
      </x:c>
      <x:c r="E1498" s="18" t="n">
        <x:v>335.74</x:v>
      </x:c>
      <x:c r="F1498" s="18"/>
      <x:c r="G1498" s="18" t="n">
        <x:v>-335.74</x:v>
      </x:c>
      <x:c r="H1498" s="18" t="n">
        <x:f>H1497+G1498</x:f>
        <x:v>10418581.429999996</x:v>
      </x:c>
    </x:row>
    <x:row r="1499">
      <x:c r="A1499" s="20" t="n">
        <x:v>46192</x:v>
      </x:c>
      <x:c r="B1499" s="21" t="str">
        <x:v>CHK0028400</x:v>
      </x:c>
      <x:c r="C1499" s="21" t="str">
        <x:v>CHECK PAYMENT - Garcia Group - DP-2026-028400</x:v>
      </x:c>
      <x:c r="D1499" s="21" t="str">
        <x:v>Supplier payment</x:v>
      </x:c>
      <x:c r="E1499" s="18" t="n">
        <x:v>71.74</x:v>
      </x:c>
      <x:c r="F1499" s="18"/>
      <x:c r="G1499" s="18" t="n">
        <x:v>-71.74</x:v>
      </x:c>
      <x:c r="H1499" s="18" t="n">
        <x:f>H1498+G1499</x:f>
        <x:v>10418509.689999996</x:v>
      </x:c>
    </x:row>
    <x:row r="1500">
      <x:c r="A1500" s="20" t="n">
        <x:v>46192</x:v>
      </x:c>
      <x:c r="B1500" s="21" t="str">
        <x:v>DP-2026-027157</x:v>
      </x:c>
      <x:c r="C1500" s="21" t="str">
        <x:v>ACH PAYMENT - Watson, Mitchell and Chen - DP-2026-027157</x:v>
      </x:c>
      <x:c r="D1500" s="21" t="str">
        <x:v>Supplier payment</x:v>
      </x:c>
      <x:c r="E1500" s="18" t="n">
        <x:v>170.74</x:v>
      </x:c>
      <x:c r="F1500" s="18"/>
      <x:c r="G1500" s="18" t="n">
        <x:v>-170.74</x:v>
      </x:c>
      <x:c r="H1500" s="18" t="n">
        <x:f>H1499+G1500</x:f>
        <x:v>10418338.949999996</x:v>
      </x:c>
    </x:row>
    <x:row r="1501">
      <x:c r="A1501" s="20" t="n">
        <x:v>46192</x:v>
      </x:c>
      <x:c r="B1501" s="21" t="str">
        <x:v>DP-2026-027159</x:v>
      </x:c>
      <x:c r="C1501" s="21" t="str">
        <x:v>ACH PAYMENT - Peters, Terry and Zimmerman - DP-2026-027159</x:v>
      </x:c>
      <x:c r="D1501" s="21" t="str">
        <x:v>Supplier payment</x:v>
      </x:c>
      <x:c r="E1501" s="18" t="n">
        <x:v>1088.06</x:v>
      </x:c>
      <x:c r="F1501" s="18"/>
      <x:c r="G1501" s="18" t="n">
        <x:v>-1088.06</x:v>
      </x:c>
      <x:c r="H1501" s="18" t="n">
        <x:f>H1500+G1501</x:f>
        <x:v>10417250.889999995</x:v>
      </x:c>
    </x:row>
    <x:row r="1502">
      <x:c r="A1502" s="20" t="n">
        <x:v>46192</x:v>
      </x:c>
      <x:c r="B1502" s="21" t="str">
        <x:v>DP-2026-027164</x:v>
      </x:c>
      <x:c r="C1502" s="21" t="str">
        <x:v>ACH PAYMENT - Simmons, Tucker and Huang - DP-2026-027164</x:v>
      </x:c>
      <x:c r="D1502" s="21" t="str">
        <x:v>Supplier payment</x:v>
      </x:c>
      <x:c r="E1502" s="18" t="n">
        <x:v>173.71</x:v>
      </x:c>
      <x:c r="F1502" s="18"/>
      <x:c r="G1502" s="18" t="n">
        <x:v>-173.71</x:v>
      </x:c>
      <x:c r="H1502" s="18" t="n">
        <x:f>H1501+G1502</x:f>
        <x:v>10417077.179999994</x:v>
      </x:c>
    </x:row>
    <x:row r="1503">
      <x:c r="A1503" s="20" t="n">
        <x:v>46192</x:v>
      </x:c>
      <x:c r="B1503" s="21" t="str">
        <x:v>DP-2026-028072</x:v>
      </x:c>
      <x:c r="C1503" s="21" t="str">
        <x:v>WIRE TRANSFER PAYMENT - Thomas, Gonzalez and Beltran - DP-2026-028072</x:v>
      </x:c>
      <x:c r="D1503" s="21" t="str">
        <x:v>Supplier payment</x:v>
      </x:c>
      <x:c r="E1503" s="18" t="n">
        <x:v>112.76</x:v>
      </x:c>
      <x:c r="F1503" s="18"/>
      <x:c r="G1503" s="18" t="n">
        <x:v>-112.76</x:v>
      </x:c>
      <x:c r="H1503" s="18" t="n">
        <x:f>H1502+G1503</x:f>
        <x:v>10416964.419999994</x:v>
      </x:c>
    </x:row>
    <x:row r="1504">
      <x:c r="A1504" s="20" t="n">
        <x:v>46192</x:v>
      </x:c>
      <x:c r="B1504" s="21" t="str">
        <x:v>DP-2026-028111</x:v>
      </x:c>
      <x:c r="C1504" s="21" t="str">
        <x:v>ACH PAYMENT - Perez-Byrd - DP-2026-028111</x:v>
      </x:c>
      <x:c r="D1504" s="21" t="str">
        <x:v>Supplier payment</x:v>
      </x:c>
      <x:c r="E1504" s="18" t="n">
        <x:v>429.97</x:v>
      </x:c>
      <x:c r="F1504" s="18"/>
      <x:c r="G1504" s="18" t="n">
        <x:v>-429.97</x:v>
      </x:c>
      <x:c r="H1504" s="18" t="n">
        <x:f>H1503+G1504</x:f>
        <x:v>10416534.449999994</x:v>
      </x:c>
    </x:row>
    <x:row r="1505">
      <x:c r="A1505" s="20" t="n">
        <x:v>46192</x:v>
      </x:c>
      <x:c r="B1505" s="21" t="str">
        <x:v>DP-2026-028134</x:v>
      </x:c>
      <x:c r="C1505" s="21" t="str">
        <x:v>ACH PAYMENT - Keith PLC - DP-2026-028134</x:v>
      </x:c>
      <x:c r="D1505" s="21" t="str">
        <x:v>Supplier payment</x:v>
      </x:c>
      <x:c r="E1505" s="18" t="n">
        <x:v>1029.02</x:v>
      </x:c>
      <x:c r="F1505" s="18"/>
      <x:c r="G1505" s="18" t="n">
        <x:v>-1029.02</x:v>
      </x:c>
      <x:c r="H1505" s="18" t="n">
        <x:f>H1504+G1505</x:f>
        <x:v>10415505.429999994</x:v>
      </x:c>
    </x:row>
    <x:row r="1506">
      <x:c r="A1506" s="20" t="n">
        <x:v>46192</x:v>
      </x:c>
      <x:c r="B1506" s="21" t="str">
        <x:v>DP-2026-028135</x:v>
      </x:c>
      <x:c r="C1506" s="21" t="str">
        <x:v>ACH PAYMENT - Peters, Terry and Zimmerman - DP-2026-028135</x:v>
      </x:c>
      <x:c r="D1506" s="21" t="str">
        <x:v>Supplier payment</x:v>
      </x:c>
      <x:c r="E1506" s="18" t="n">
        <x:v>12.29</x:v>
      </x:c>
      <x:c r="F1506" s="18"/>
      <x:c r="G1506" s="18" t="n">
        <x:v>-12.29</x:v>
      </x:c>
      <x:c r="H1506" s="18" t="n">
        <x:f>H1505+G1506</x:f>
        <x:v>10415493.139999995</x:v>
      </x:c>
    </x:row>
    <x:row r="1507">
      <x:c r="A1507" s="20" t="n">
        <x:v>46192</x:v>
      </x:c>
      <x:c r="B1507" s="21" t="str">
        <x:v>DP-2026-028166</x:v>
      </x:c>
      <x:c r="C1507" s="21" t="str">
        <x:v>ACH PAYMENT - Brooks, Johnson and Olson - DP-2026-028166</x:v>
      </x:c>
      <x:c r="D1507" s="21" t="str">
        <x:v>Supplier payment</x:v>
      </x:c>
      <x:c r="E1507" s="18" t="n">
        <x:v>741.81</x:v>
      </x:c>
      <x:c r="F1507" s="18"/>
      <x:c r="G1507" s="18" t="n">
        <x:v>-741.81</x:v>
      </x:c>
      <x:c r="H1507" s="18" t="n">
        <x:f>H1506+G1507</x:f>
        <x:v>10414751.329999994</x:v>
      </x:c>
    </x:row>
    <x:row r="1508">
      <x:c r="A1508" s="20" t="n">
        <x:v>46192</x:v>
      </x:c>
      <x:c r="B1508" s="21" t="str">
        <x:v>DP-2026-028170</x:v>
      </x:c>
      <x:c r="C1508" s="21" t="str">
        <x:v>WIRE TRANSFER PAYMENT - Garcia Group - DP-2026-028170</x:v>
      </x:c>
      <x:c r="D1508" s="21" t="str">
        <x:v>Supplier payment</x:v>
      </x:c>
      <x:c r="E1508" s="18" t="n">
        <x:v>219.59</x:v>
      </x:c>
      <x:c r="F1508" s="18"/>
      <x:c r="G1508" s="18" t="n">
        <x:v>-219.59</x:v>
      </x:c>
      <x:c r="H1508" s="18" t="n">
        <x:f>H1507+G1508</x:f>
        <x:v>10414531.739999995</x:v>
      </x:c>
    </x:row>
    <x:row r="1509">
      <x:c r="A1509" s="20" t="n">
        <x:v>46192</x:v>
      </x:c>
      <x:c r="B1509" s="21" t="str">
        <x:v>DP-2026-028195</x:v>
      </x:c>
      <x:c r="C1509" s="21" t="str">
        <x:v>ACH PAYMENT - Collins-Johnson - DP-2026-028195</x:v>
      </x:c>
      <x:c r="D1509" s="21" t="str">
        <x:v>Supplier payment</x:v>
      </x:c>
      <x:c r="E1509" s="18" t="n">
        <x:v>2032.08</x:v>
      </x:c>
      <x:c r="F1509" s="18"/>
      <x:c r="G1509" s="18" t="n">
        <x:v>-2032.08</x:v>
      </x:c>
      <x:c r="H1509" s="18" t="n">
        <x:f>H1508+G1509</x:f>
        <x:v>10412499.659999995</x:v>
      </x:c>
    </x:row>
    <x:row r="1510">
      <x:c r="A1510" s="20" t="n">
        <x:v>46192</x:v>
      </x:c>
      <x:c r="B1510" s="21" t="str">
        <x:v>DP-2026-028210</x:v>
      </x:c>
      <x:c r="C1510" s="21" t="str">
        <x:v>ACH PAYMENT - Day PLC - DP-2026-028210</x:v>
      </x:c>
      <x:c r="D1510" s="21" t="str">
        <x:v>Supplier payment</x:v>
      </x:c>
      <x:c r="E1510" s="18" t="n">
        <x:v>435.4</x:v>
      </x:c>
      <x:c r="F1510" s="18"/>
      <x:c r="G1510" s="18" t="n">
        <x:v>-435.4</x:v>
      </x:c>
      <x:c r="H1510" s="18" t="n">
        <x:f>H1509+G1510</x:f>
        <x:v>10412064.259999994</x:v>
      </x:c>
    </x:row>
    <x:row r="1511">
      <x:c r="A1511" s="20" t="n">
        <x:v>46192</x:v>
      </x:c>
      <x:c r="B1511" s="21" t="str">
        <x:v>DP-2026-028217</x:v>
      </x:c>
      <x:c r="C1511" s="21" t="str">
        <x:v>ACH PAYMENT - Velasquez-Baxter - DP-2026-028217</x:v>
      </x:c>
      <x:c r="D1511" s="21" t="str">
        <x:v>Supplier payment</x:v>
      </x:c>
      <x:c r="E1511" s="18" t="n">
        <x:v>377.81</x:v>
      </x:c>
      <x:c r="F1511" s="18"/>
      <x:c r="G1511" s="18" t="n">
        <x:v>-377.81</x:v>
      </x:c>
      <x:c r="H1511" s="18" t="n">
        <x:f>H1510+G1511</x:f>
        <x:v>10411686.449999994</x:v>
      </x:c>
    </x:row>
    <x:row r="1512">
      <x:c r="A1512" s="20" t="n">
        <x:v>46192</x:v>
      </x:c>
      <x:c r="B1512" s="21" t="str">
        <x:v>DP-2026-028222</x:v>
      </x:c>
      <x:c r="C1512" s="21" t="str">
        <x:v>ACH PAYMENT - Velasquez-Baxter - DP-2026-028222</x:v>
      </x:c>
      <x:c r="D1512" s="21" t="str">
        <x:v>Supplier payment</x:v>
      </x:c>
      <x:c r="E1512" s="18" t="n">
        <x:v>15.42</x:v>
      </x:c>
      <x:c r="F1512" s="18"/>
      <x:c r="G1512" s="18" t="n">
        <x:v>-15.42</x:v>
      </x:c>
      <x:c r="H1512" s="18" t="n">
        <x:f>H1511+G1512</x:f>
        <x:v>10411671.029999994</x:v>
      </x:c>
    </x:row>
    <x:row r="1513">
      <x:c r="A1513" s="20" t="n">
        <x:v>46192</x:v>
      </x:c>
      <x:c r="B1513" s="21" t="str">
        <x:v>DP-2026-028239</x:v>
      </x:c>
      <x:c r="C1513" s="21" t="str">
        <x:v>ACH PAYMENT - Davis-Grant - DP-2026-028239</x:v>
      </x:c>
      <x:c r="D1513" s="21" t="str">
        <x:v>Supplier payment</x:v>
      </x:c>
      <x:c r="E1513" s="18" t="n">
        <x:v>866.83</x:v>
      </x:c>
      <x:c r="F1513" s="18"/>
      <x:c r="G1513" s="18" t="n">
        <x:v>-866.83</x:v>
      </x:c>
      <x:c r="H1513" s="18" t="n">
        <x:f>H1512+G1513</x:f>
        <x:v>10410804.199999994</x:v>
      </x:c>
    </x:row>
    <x:row r="1514">
      <x:c r="A1514" s="20" t="n">
        <x:v>46192</x:v>
      </x:c>
      <x:c r="B1514" s="21" t="str">
        <x:v>DP-2026-028254</x:v>
      </x:c>
      <x:c r="C1514" s="21" t="str">
        <x:v>ACH PAYMENT - Lindsey and Sons - DP-2026-028254</x:v>
      </x:c>
      <x:c r="D1514" s="21" t="str">
        <x:v>Supplier payment</x:v>
      </x:c>
      <x:c r="E1514" s="18" t="n">
        <x:v>748.16</x:v>
      </x:c>
      <x:c r="F1514" s="18"/>
      <x:c r="G1514" s="18" t="n">
        <x:v>-748.16</x:v>
      </x:c>
      <x:c r="H1514" s="18" t="n">
        <x:f>H1513+G1514</x:f>
        <x:v>10410056.039999994</x:v>
      </x:c>
    </x:row>
    <x:row r="1515">
      <x:c r="A1515" s="20" t="n">
        <x:v>46192</x:v>
      </x:c>
      <x:c r="B1515" s="21" t="str">
        <x:v>DP-2026-028280</x:v>
      </x:c>
      <x:c r="C1515" s="21" t="str">
        <x:v>ACH PAYMENT - Berger, Stanley and Cooper - DP-2026-028280</x:v>
      </x:c>
      <x:c r="D1515" s="21" t="str">
        <x:v>Supplier payment</x:v>
      </x:c>
      <x:c r="E1515" s="18" t="n">
        <x:v>611.4</x:v>
      </x:c>
      <x:c r="F1515" s="18"/>
      <x:c r="G1515" s="18" t="n">
        <x:v>-611.4</x:v>
      </x:c>
      <x:c r="H1515" s="18" t="n">
        <x:f>H1514+G1515</x:f>
        <x:v>10409444.639999993</x:v>
      </x:c>
    </x:row>
    <x:row r="1516">
      <x:c r="A1516" s="20" t="n">
        <x:v>46192</x:v>
      </x:c>
      <x:c r="B1516" s="21" t="str">
        <x:v>DP-2026-028314</x:v>
      </x:c>
      <x:c r="C1516" s="21" t="str">
        <x:v>WIRE TRANSFER PAYMENT - Brown-Owens - DP-2026-028314</x:v>
      </x:c>
      <x:c r="D1516" s="21" t="str">
        <x:v>Supplier payment</x:v>
      </x:c>
      <x:c r="E1516" s="18" t="n">
        <x:v>820.08</x:v>
      </x:c>
      <x:c r="F1516" s="18"/>
      <x:c r="G1516" s="18" t="n">
        <x:v>-820.08</x:v>
      </x:c>
      <x:c r="H1516" s="18" t="n">
        <x:f>H1515+G1516</x:f>
        <x:v>10408624.559999993</x:v>
      </x:c>
    </x:row>
    <x:row r="1517">
      <x:c r="A1517" s="20" t="n">
        <x:v>46192</x:v>
      </x:c>
      <x:c r="B1517" s="21" t="str">
        <x:v>DP-2026-028326</x:v>
      </x:c>
      <x:c r="C1517" s="21" t="str">
        <x:v>ACH PAYMENT - Briggs-Cummings - DP-2026-028326</x:v>
      </x:c>
      <x:c r="D1517" s="21" t="str">
        <x:v>Supplier payment</x:v>
      </x:c>
      <x:c r="E1517" s="18" t="n">
        <x:v>162.87</x:v>
      </x:c>
      <x:c r="F1517" s="18"/>
      <x:c r="G1517" s="18" t="n">
        <x:v>-162.87</x:v>
      </x:c>
      <x:c r="H1517" s="18" t="n">
        <x:f>H1516+G1517</x:f>
        <x:v>10408461.689999994</x:v>
      </x:c>
    </x:row>
    <x:row r="1518">
      <x:c r="A1518" s="20" t="n">
        <x:v>46192</x:v>
      </x:c>
      <x:c r="B1518" s="21" t="str">
        <x:v>DP-2026-028348</x:v>
      </x:c>
      <x:c r="C1518" s="21" t="str">
        <x:v>ACH PAYMENT - Gomez PLC - DP-2026-028348</x:v>
      </x:c>
      <x:c r="D1518" s="21" t="str">
        <x:v>Supplier payment</x:v>
      </x:c>
      <x:c r="E1518" s="18" t="n">
        <x:v>669.98</x:v>
      </x:c>
      <x:c r="F1518" s="18"/>
      <x:c r="G1518" s="18" t="n">
        <x:v>-669.98</x:v>
      </x:c>
      <x:c r="H1518" s="18" t="n">
        <x:f>H1517+G1518</x:f>
        <x:v>10407791.709999993</x:v>
      </x:c>
    </x:row>
    <x:row r="1519">
      <x:c r="A1519" s="20" t="n">
        <x:v>46192</x:v>
      </x:c>
      <x:c r="B1519" s="21" t="str">
        <x:v>DP-2026-028434</x:v>
      </x:c>
      <x:c r="C1519" s="21" t="str">
        <x:v>ACH PAYMENT - Peters, Terry and Zimmerman - DP-2026-028434</x:v>
      </x:c>
      <x:c r="D1519" s="21" t="str">
        <x:v>Supplier payment</x:v>
      </x:c>
      <x:c r="E1519" s="18" t="n">
        <x:v>2752.21</x:v>
      </x:c>
      <x:c r="F1519" s="18"/>
      <x:c r="G1519" s="18" t="n">
        <x:v>-2752.21</x:v>
      </x:c>
      <x:c r="H1519" s="18" t="n">
        <x:f>H1518+G1519</x:f>
        <x:v>10405039.499999993</x:v>
      </x:c>
    </x:row>
    <x:row r="1520">
      <x:c r="A1520" s="20" t="n">
        <x:v>46192</x:v>
      </x:c>
      <x:c r="B1520" s="21" t="str">
        <x:v>DP-2026-028436</x:v>
      </x:c>
      <x:c r="C1520" s="21" t="str">
        <x:v>ACH PAYMENT - Nelson-Rocha - DP-2026-028436</x:v>
      </x:c>
      <x:c r="D1520" s="21" t="str">
        <x:v>Supplier payment</x:v>
      </x:c>
      <x:c r="E1520" s="18" t="n">
        <x:v>449.16</x:v>
      </x:c>
      <x:c r="F1520" s="18"/>
      <x:c r="G1520" s="18" t="n">
        <x:v>-449.16</x:v>
      </x:c>
      <x:c r="H1520" s="18" t="n">
        <x:f>H1519+G1520</x:f>
        <x:v>10404590.339999992</x:v>
      </x:c>
    </x:row>
    <x:row r="1521">
      <x:c r="A1521" s="20" t="n">
        <x:v>46193</x:v>
      </x:c>
      <x:c r="B1521" s="21" t="str">
        <x:v>AR00005954</x:v>
      </x:c>
      <x:c r="C1521" s="21" t="str">
        <x:v>CUSTOMER DEPOSIT - Schmidt, Smith and Villarreal - CR-2026-005954</x:v>
      </x:c>
      <x:c r="D1521" s="21" t="str">
        <x:v>Customer deposit</x:v>
      </x:c>
      <x:c r="E1521" s="18"/>
      <x:c r="F1521" s="18" t="n">
        <x:v>18241.41</x:v>
      </x:c>
      <x:c r="G1521" s="18" t="n">
        <x:v>18241.41</x:v>
      </x:c>
      <x:c r="H1521" s="18" t="n">
        <x:f>H1520+G1521</x:f>
        <x:v>10422831.749999993</x:v>
      </x:c>
    </x:row>
    <x:row r="1522">
      <x:c r="A1522" s="20" t="n">
        <x:v>46193</x:v>
      </x:c>
      <x:c r="B1522" s="21" t="str">
        <x:v>AR00005970</x:v>
      </x:c>
      <x:c r="C1522" s="21" t="str">
        <x:v>CUSTOMER DEPOSIT - Lopez-Scott - CR-2026-005970</x:v>
      </x:c>
      <x:c r="D1522" s="21" t="str">
        <x:v>Customer deposit</x:v>
      </x:c>
      <x:c r="E1522" s="18"/>
      <x:c r="F1522" s="18" t="n">
        <x:v>2923.36</x:v>
      </x:c>
      <x:c r="G1522" s="18" t="n">
        <x:v>2923.36</x:v>
      </x:c>
      <x:c r="H1522" s="18" t="n">
        <x:f>H1521+G1522</x:f>
        <x:v>10425755.109999992</x:v>
      </x:c>
    </x:row>
    <x:row r="1523">
      <x:c r="A1523" s="20" t="n">
        <x:v>46193</x:v>
      </x:c>
      <x:c r="B1523" s="21" t="str">
        <x:v>AR00006056</x:v>
      </x:c>
      <x:c r="C1523" s="21" t="str">
        <x:v>CUSTOMER DEPOSIT - Glenn-Estrada - CR-2026-006056</x:v>
      </x:c>
      <x:c r="D1523" s="21" t="str">
        <x:v>Customer deposit</x:v>
      </x:c>
      <x:c r="E1523" s="18"/>
      <x:c r="F1523" s="18" t="n">
        <x:v>8103.92</x:v>
      </x:c>
      <x:c r="G1523" s="18" t="n">
        <x:v>8103.92</x:v>
      </x:c>
      <x:c r="H1523" s="18" t="n">
        <x:f>H1522+G1523</x:f>
        <x:v>10433859.029999992</x:v>
      </x:c>
    </x:row>
    <x:row r="1524">
      <x:c r="A1524" s="20" t="n">
        <x:v>46193</x:v>
      </x:c>
      <x:c r="B1524" s="21" t="str">
        <x:v>AR00006064</x:v>
      </x:c>
      <x:c r="C1524" s="21" t="str">
        <x:v>CUSTOMER DEPOSIT - Roach, Walton and Logan - CR-2026-006064</x:v>
      </x:c>
      <x:c r="D1524" s="21" t="str">
        <x:v>Customer deposit</x:v>
      </x:c>
      <x:c r="E1524" s="18"/>
      <x:c r="F1524" s="18" t="n">
        <x:v>12530.55</x:v>
      </x:c>
      <x:c r="G1524" s="18" t="n">
        <x:v>12530.55</x:v>
      </x:c>
      <x:c r="H1524" s="18" t="n">
        <x:f>H1523+G1524</x:f>
        <x:v>10446389.579999993</x:v>
      </x:c>
    </x:row>
    <x:row r="1525">
      <x:c r="A1525" s="20" t="n">
        <x:v>46193</x:v>
      </x:c>
      <x:c r="B1525" s="21" t="str">
        <x:v>AR00006118</x:v>
      </x:c>
      <x:c r="C1525" s="21" t="str">
        <x:v>CUSTOMER DEPOSIT - Reyes-Barnes - CR-2026-006118</x:v>
      </x:c>
      <x:c r="D1525" s="21" t="str">
        <x:v>Customer deposit</x:v>
      </x:c>
      <x:c r="E1525" s="18"/>
      <x:c r="F1525" s="18" t="n">
        <x:v>29606.14</x:v>
      </x:c>
      <x:c r="G1525" s="18" t="n">
        <x:v>29606.14</x:v>
      </x:c>
      <x:c r="H1525" s="18" t="n">
        <x:f>H1524+G1525</x:f>
        <x:v>10475995.719999993</x:v>
      </x:c>
    </x:row>
    <x:row r="1526">
      <x:c r="A1526" s="20" t="n">
        <x:v>46193</x:v>
      </x:c>
      <x:c r="B1526" s="21" t="str">
        <x:v>CHK0027153</x:v>
      </x:c>
      <x:c r="C1526" s="21" t="str">
        <x:v>CHECK PAYMENT - Powell Inc - DP-2026-027153</x:v>
      </x:c>
      <x:c r="D1526" s="21" t="str">
        <x:v>Supplier payment</x:v>
      </x:c>
      <x:c r="E1526" s="18" t="n">
        <x:v>940.79</x:v>
      </x:c>
      <x:c r="F1526" s="18"/>
      <x:c r="G1526" s="18" t="n">
        <x:v>-940.79</x:v>
      </x:c>
      <x:c r="H1526" s="18" t="n">
        <x:f>H1525+G1526</x:f>
        <x:v>10475054.929999994</x:v>
      </x:c>
    </x:row>
    <x:row r="1527">
      <x:c r="A1527" s="20" t="n">
        <x:v>46193</x:v>
      </x:c>
      <x:c r="B1527" s="21" t="str">
        <x:v>CHK0027166</x:v>
      </x:c>
      <x:c r="C1527" s="21" t="str">
        <x:v>CHECK PAYMENT - Garcia Group - DP-2026-027166</x:v>
      </x:c>
      <x:c r="D1527" s="21" t="str">
        <x:v>Supplier payment</x:v>
      </x:c>
      <x:c r="E1527" s="18" t="n">
        <x:v>1005.92</x:v>
      </x:c>
      <x:c r="F1527" s="18"/>
      <x:c r="G1527" s="18" t="n">
        <x:v>-1005.92</x:v>
      </x:c>
      <x:c r="H1527" s="18" t="n">
        <x:f>H1526+G1527</x:f>
        <x:v>10474049.009999994</x:v>
      </x:c>
    </x:row>
    <x:row r="1528">
      <x:c r="A1528" s="20" t="n">
        <x:v>46193</x:v>
      </x:c>
      <x:c r="B1528" s="21" t="str">
        <x:v>CHK0028061</x:v>
      </x:c>
      <x:c r="C1528" s="21" t="str">
        <x:v>CHECK PAYMENT - Hernandez, Melendez and Mcdowell - DP-2026-028061</x:v>
      </x:c>
      <x:c r="D1528" s="21" t="str">
        <x:v>Supplier payment</x:v>
      </x:c>
      <x:c r="E1528" s="18" t="n">
        <x:v>1619.31</x:v>
      </x:c>
      <x:c r="F1528" s="18"/>
      <x:c r="G1528" s="18" t="n">
        <x:v>-1619.31</x:v>
      </x:c>
      <x:c r="H1528" s="18" t="n">
        <x:f>H1527+G1528</x:f>
        <x:v>10472429.699999994</x:v>
      </x:c>
    </x:row>
    <x:row r="1529">
      <x:c r="A1529" s="20" t="n">
        <x:v>46193</x:v>
      </x:c>
      <x:c r="B1529" s="21" t="str">
        <x:v>CHK0028173</x:v>
      </x:c>
      <x:c r="C1529" s="21" t="str">
        <x:v>CHECK PAYMENT - Collins-Johnson - DP-2026-028173</x:v>
      </x:c>
      <x:c r="D1529" s="21" t="str">
        <x:v>Supplier payment</x:v>
      </x:c>
      <x:c r="E1529" s="18" t="n">
        <x:v>893.75</x:v>
      </x:c>
      <x:c r="F1529" s="18"/>
      <x:c r="G1529" s="18" t="n">
        <x:v>-893.75</x:v>
      </x:c>
      <x:c r="H1529" s="18" t="n">
        <x:f>H1528+G1529</x:f>
        <x:v>10471535.949999994</x:v>
      </x:c>
    </x:row>
    <x:row r="1530">
      <x:c r="A1530" s="20" t="n">
        <x:v>46193</x:v>
      </x:c>
      <x:c r="B1530" s="21" t="str">
        <x:v>CHK0028176</x:v>
      </x:c>
      <x:c r="C1530" s="21" t="str">
        <x:v>CHECK PAYMENT - Patterson-Smith - DP-2026-028176</x:v>
      </x:c>
      <x:c r="D1530" s="21" t="str">
        <x:v>Supplier payment</x:v>
      </x:c>
      <x:c r="E1530" s="18" t="n">
        <x:v>558.21</x:v>
      </x:c>
      <x:c r="F1530" s="18"/>
      <x:c r="G1530" s="18" t="n">
        <x:v>-558.21</x:v>
      </x:c>
      <x:c r="H1530" s="18" t="n">
        <x:f>H1529+G1530</x:f>
        <x:v>10470977.739999993</x:v>
      </x:c>
    </x:row>
    <x:row r="1531">
      <x:c r="A1531" s="20" t="n">
        <x:v>46193</x:v>
      </x:c>
      <x:c r="B1531" s="21" t="str">
        <x:v>CHK0028216</x:v>
      </x:c>
      <x:c r="C1531" s="21" t="str">
        <x:v>CHECK PAYMENT - Peters, Terry and Zimmerman - DP-2026-028216</x:v>
      </x:c>
      <x:c r="D1531" s="21" t="str">
        <x:v>Supplier payment</x:v>
      </x:c>
      <x:c r="E1531" s="18" t="n">
        <x:v>12.97</x:v>
      </x:c>
      <x:c r="F1531" s="18"/>
      <x:c r="G1531" s="18" t="n">
        <x:v>-12.97</x:v>
      </x:c>
      <x:c r="H1531" s="18" t="n">
        <x:f>H1530+G1531</x:f>
        <x:v>10470964.769999992</x:v>
      </x:c>
    </x:row>
    <x:row r="1532">
      <x:c r="A1532" s="20" t="n">
        <x:v>46193</x:v>
      </x:c>
      <x:c r="B1532" s="21" t="str">
        <x:v>CHK0028223</x:v>
      </x:c>
      <x:c r="C1532" s="21" t="str">
        <x:v>CHECK PAYMENT - Hoffman LLC - DP-2026-028223</x:v>
      </x:c>
      <x:c r="D1532" s="21" t="str">
        <x:v>Supplier payment</x:v>
      </x:c>
      <x:c r="E1532" s="18" t="n">
        <x:v>452.37</x:v>
      </x:c>
      <x:c r="F1532" s="18"/>
      <x:c r="G1532" s="18" t="n">
        <x:v>-452.37</x:v>
      </x:c>
      <x:c r="H1532" s="18" t="n">
        <x:f>H1531+G1532</x:f>
        <x:v>10470512.399999993</x:v>
      </x:c>
    </x:row>
    <x:row r="1533">
      <x:c r="A1533" s="20" t="n">
        <x:v>46193</x:v>
      </x:c>
      <x:c r="B1533" s="21" t="str">
        <x:v>CHK0028256</x:v>
      </x:c>
      <x:c r="C1533" s="21" t="str">
        <x:v>CHECK PAYMENT - Stokes, Mann and Keller - DP-2026-028256</x:v>
      </x:c>
      <x:c r="D1533" s="21" t="str">
        <x:v>Supplier payment</x:v>
      </x:c>
      <x:c r="E1533" s="18" t="n">
        <x:v>2629.04</x:v>
      </x:c>
      <x:c r="F1533" s="18"/>
      <x:c r="G1533" s="18" t="n">
        <x:v>-2629.04</x:v>
      </x:c>
      <x:c r="H1533" s="18" t="n">
        <x:f>H1532+G1533</x:f>
        <x:v>10467883.359999994</x:v>
      </x:c>
    </x:row>
    <x:row r="1534">
      <x:c r="A1534" s="20" t="n">
        <x:v>46193</x:v>
      </x:c>
      <x:c r="B1534" s="21" t="str">
        <x:v>CHK0028309</x:v>
      </x:c>
      <x:c r="C1534" s="21" t="str">
        <x:v>CHECK PAYMENT - Martinez LLC - DP-2026-028309</x:v>
      </x:c>
      <x:c r="D1534" s="21" t="str">
        <x:v>Supplier payment</x:v>
      </x:c>
      <x:c r="E1534" s="18" t="n">
        <x:v>273.17</x:v>
      </x:c>
      <x:c r="F1534" s="18"/>
      <x:c r="G1534" s="18" t="n">
        <x:v>-273.17</x:v>
      </x:c>
      <x:c r="H1534" s="18" t="n">
        <x:f>H1533+G1534</x:f>
        <x:v>10467610.189999994</x:v>
      </x:c>
    </x:row>
    <x:row r="1535">
      <x:c r="A1535" s="20" t="n">
        <x:v>46193</x:v>
      </x:c>
      <x:c r="B1535" s="21" t="str">
        <x:v>CHK0028352</x:v>
      </x:c>
      <x:c r="C1535" s="21" t="str">
        <x:v>CHECK PAYMENT - Hoffman LLC - DP-2026-028352</x:v>
      </x:c>
      <x:c r="D1535" s="21" t="str">
        <x:v>Supplier payment</x:v>
      </x:c>
      <x:c r="E1535" s="18" t="n">
        <x:v>9140.51</x:v>
      </x:c>
      <x:c r="F1535" s="18"/>
      <x:c r="G1535" s="18" t="n">
        <x:v>-9140.51</x:v>
      </x:c>
      <x:c r="H1535" s="18" t="n">
        <x:f>H1534+G1535</x:f>
        <x:v>10458469.679999994</x:v>
      </x:c>
    </x:row>
    <x:row r="1536">
      <x:c r="A1536" s="20" t="n">
        <x:v>46193</x:v>
      </x:c>
      <x:c r="B1536" s="21" t="str">
        <x:v>CHK0028388</x:v>
      </x:c>
      <x:c r="C1536" s="21" t="str">
        <x:v>CHECK PAYMENT - Bell, Pruitt and David - DP-2026-028388</x:v>
      </x:c>
      <x:c r="D1536" s="21" t="str">
        <x:v>Supplier payment</x:v>
      </x:c>
      <x:c r="E1536" s="18" t="n">
        <x:v>1467.53</x:v>
      </x:c>
      <x:c r="F1536" s="18"/>
      <x:c r="G1536" s="18" t="n">
        <x:v>-1467.53</x:v>
      </x:c>
      <x:c r="H1536" s="18" t="n">
        <x:f>H1535+G1536</x:f>
        <x:v>10457002.149999995</x:v>
      </x:c>
    </x:row>
    <x:row r="1537">
      <x:c r="A1537" s="20" t="n">
        <x:v>46193</x:v>
      </x:c>
      <x:c r="B1537" s="21" t="str">
        <x:v>CHK0028396</x:v>
      </x:c>
      <x:c r="C1537" s="21" t="str">
        <x:v>CHECK PAYMENT - Ellis, Smith and Francis - DP-2026-028396</x:v>
      </x:c>
      <x:c r="D1537" s="21" t="str">
        <x:v>Supplier payment</x:v>
      </x:c>
      <x:c r="E1537" s="18" t="n">
        <x:v>468.49</x:v>
      </x:c>
      <x:c r="F1537" s="18"/>
      <x:c r="G1537" s="18" t="n">
        <x:v>-468.49</x:v>
      </x:c>
      <x:c r="H1537" s="18" t="n">
        <x:f>H1536+G1537</x:f>
        <x:v>10456533.659999995</x:v>
      </x:c>
    </x:row>
    <x:row r="1538">
      <x:c r="A1538" s="20" t="n">
        <x:v>46193</x:v>
      </x:c>
      <x:c r="B1538" s="21" t="str">
        <x:v>CHK0028414</x:v>
      </x:c>
      <x:c r="C1538" s="21" t="str">
        <x:v>CHECK PAYMENT - Torres Ltd - DP-2026-028414</x:v>
      </x:c>
      <x:c r="D1538" s="21" t="str">
        <x:v>Supplier payment</x:v>
      </x:c>
      <x:c r="E1538" s="18" t="n">
        <x:v>477.86</x:v>
      </x:c>
      <x:c r="F1538" s="18"/>
      <x:c r="G1538" s="18" t="n">
        <x:v>-477.86</x:v>
      </x:c>
      <x:c r="H1538" s="18" t="n">
        <x:f>H1537+G1538</x:f>
        <x:v>10456055.799999995</x:v>
      </x:c>
    </x:row>
    <x:row r="1539">
      <x:c r="A1539" s="20" t="n">
        <x:v>46193</x:v>
      </x:c>
      <x:c r="B1539" s="21" t="str">
        <x:v>CHK0028451</x:v>
      </x:c>
      <x:c r="C1539" s="21" t="str">
        <x:v>CHECK PAYMENT - Collins-Johnson - DP-2026-028451</x:v>
      </x:c>
      <x:c r="D1539" s="21" t="str">
        <x:v>Supplier payment</x:v>
      </x:c>
      <x:c r="E1539" s="18" t="n">
        <x:v>461.37</x:v>
      </x:c>
      <x:c r="F1539" s="18"/>
      <x:c r="G1539" s="18" t="n">
        <x:v>-461.37</x:v>
      </x:c>
      <x:c r="H1539" s="18" t="n">
        <x:f>H1538+G1539</x:f>
        <x:v>10455594.429999996</x:v>
      </x:c>
    </x:row>
    <x:row r="1540">
      <x:c r="A1540" s="20" t="n">
        <x:v>46193</x:v>
      </x:c>
      <x:c r="B1540" s="21" t="str">
        <x:v>DP-2026-025620</x:v>
      </x:c>
      <x:c r="C1540" s="21" t="str">
        <x:v>ACH PAYMENT - Powers-Daniels - DP-2026-025620</x:v>
      </x:c>
      <x:c r="D1540" s="21" t="str">
        <x:v>Supplier payment</x:v>
      </x:c>
      <x:c r="E1540" s="18" t="n">
        <x:v>1124.46</x:v>
      </x:c>
      <x:c r="F1540" s="18"/>
      <x:c r="G1540" s="18" t="n">
        <x:v>-1124.46</x:v>
      </x:c>
      <x:c r="H1540" s="18" t="n">
        <x:f>H1539+G1540</x:f>
        <x:v>10454469.969999995</x:v>
      </x:c>
    </x:row>
    <x:row r="1541">
      <x:c r="A1541" s="20" t="n">
        <x:v>46193</x:v>
      </x:c>
      <x:c r="B1541" s="21" t="str">
        <x:v>DP-2026-027155</x:v>
      </x:c>
      <x:c r="C1541" s="21" t="str">
        <x:v>ACH PAYMENT - Dennis PLC - DP-2026-027155</x:v>
      </x:c>
      <x:c r="D1541" s="21" t="str">
        <x:v>Supplier payment</x:v>
      </x:c>
      <x:c r="E1541" s="18" t="n">
        <x:v>790.83</x:v>
      </x:c>
      <x:c r="F1541" s="18"/>
      <x:c r="G1541" s="18" t="n">
        <x:v>-790.83</x:v>
      </x:c>
      <x:c r="H1541" s="18" t="n">
        <x:f>H1540+G1541</x:f>
        <x:v>10453679.139999995</x:v>
      </x:c>
    </x:row>
    <x:row r="1542">
      <x:c r="A1542" s="20" t="n">
        <x:v>46193</x:v>
      </x:c>
      <x:c r="B1542" s="21" t="str">
        <x:v>DP-2026-027161</x:v>
      </x:c>
      <x:c r="C1542" s="21" t="str">
        <x:v>ACH PAYMENT - Watts-Strickland - DP-2026-027161</x:v>
      </x:c>
      <x:c r="D1542" s="21" t="str">
        <x:v>Supplier payment</x:v>
      </x:c>
      <x:c r="E1542" s="18" t="n">
        <x:v>217.36</x:v>
      </x:c>
      <x:c r="F1542" s="18"/>
      <x:c r="G1542" s="18" t="n">
        <x:v>-217.36</x:v>
      </x:c>
      <x:c r="H1542" s="18" t="n">
        <x:f>H1541+G1542</x:f>
        <x:v>10453461.779999996</x:v>
      </x:c>
    </x:row>
    <x:row r="1543">
      <x:c r="A1543" s="20" t="n">
        <x:v>46193</x:v>
      </x:c>
      <x:c r="B1543" s="21" t="str">
        <x:v>DP-2026-027165</x:v>
      </x:c>
      <x:c r="C1543" s="21" t="str">
        <x:v>ACH PAYMENT - Hernandez, Melendez and Mcdowell - DP-2026-027165</x:v>
      </x:c>
      <x:c r="D1543" s="21" t="str">
        <x:v>Supplier payment</x:v>
      </x:c>
      <x:c r="E1543" s="18" t="n">
        <x:v>1954.32</x:v>
      </x:c>
      <x:c r="F1543" s="18"/>
      <x:c r="G1543" s="18" t="n">
        <x:v>-1954.32</x:v>
      </x:c>
      <x:c r="H1543" s="18" t="n">
        <x:f>H1542+G1543</x:f>
        <x:v>10451507.459999995</x:v>
      </x:c>
    </x:row>
    <x:row r="1544">
      <x:c r="A1544" s="20" t="n">
        <x:v>46193</x:v>
      </x:c>
      <x:c r="B1544" s="21" t="str">
        <x:v>DP-2026-027168</x:v>
      </x:c>
      <x:c r="C1544" s="21" t="str">
        <x:v>ACH PAYMENT - Berger, Stanley and Cooper - DP-2026-027168</x:v>
      </x:c>
      <x:c r="D1544" s="21" t="str">
        <x:v>Supplier payment</x:v>
      </x:c>
      <x:c r="E1544" s="18" t="n">
        <x:v>772.08</x:v>
      </x:c>
      <x:c r="F1544" s="18"/>
      <x:c r="G1544" s="18" t="n">
        <x:v>-772.08</x:v>
      </x:c>
      <x:c r="H1544" s="18" t="n">
        <x:f>H1543+G1544</x:f>
        <x:v>10450735.379999995</x:v>
      </x:c>
    </x:row>
    <x:row r="1545">
      <x:c r="A1545" s="20" t="n">
        <x:v>46193</x:v>
      </x:c>
      <x:c r="B1545" s="21" t="str">
        <x:v>DP-2026-028091</x:v>
      </x:c>
      <x:c r="C1545" s="21" t="str">
        <x:v>ACH PAYMENT - Bell, Pruitt and David - DP-2026-028091</x:v>
      </x:c>
      <x:c r="D1545" s="21" t="str">
        <x:v>Supplier payment</x:v>
      </x:c>
      <x:c r="E1545" s="18" t="n">
        <x:v>1005.91</x:v>
      </x:c>
      <x:c r="F1545" s="18"/>
      <x:c r="G1545" s="18" t="n">
        <x:v>-1005.91</x:v>
      </x:c>
      <x:c r="H1545" s="18" t="n">
        <x:f>H1544+G1545</x:f>
        <x:v>10449729.469999995</x:v>
      </x:c>
    </x:row>
    <x:row r="1546">
      <x:c r="A1546" s="20" t="n">
        <x:v>46193</x:v>
      </x:c>
      <x:c r="B1546" s="21" t="str">
        <x:v>DP-2026-028097</x:v>
      </x:c>
      <x:c r="C1546" s="21" t="str">
        <x:v>ACH PAYMENT - Hoffman LLC - DP-2026-028097</x:v>
      </x:c>
      <x:c r="D1546" s="21" t="str">
        <x:v>Supplier payment</x:v>
      </x:c>
      <x:c r="E1546" s="18" t="n">
        <x:v>205.57</x:v>
      </x:c>
      <x:c r="F1546" s="18"/>
      <x:c r="G1546" s="18" t="n">
        <x:v>-205.57</x:v>
      </x:c>
      <x:c r="H1546" s="18" t="n">
        <x:f>H1545+G1546</x:f>
        <x:v>10449523.899999995</x:v>
      </x:c>
    </x:row>
    <x:row r="1547">
      <x:c r="A1547" s="20" t="n">
        <x:v>46193</x:v>
      </x:c>
      <x:c r="B1547" s="21" t="str">
        <x:v>DP-2026-028157</x:v>
      </x:c>
      <x:c r="C1547" s="21" t="str">
        <x:v>ACH PAYMENT - Brooks, Johnson and Olson - DP-2026-028157</x:v>
      </x:c>
      <x:c r="D1547" s="21" t="str">
        <x:v>Supplier payment</x:v>
      </x:c>
      <x:c r="E1547" s="18" t="n">
        <x:v>1597.87</x:v>
      </x:c>
      <x:c r="F1547" s="18"/>
      <x:c r="G1547" s="18" t="n">
        <x:v>-1597.87</x:v>
      </x:c>
      <x:c r="H1547" s="18" t="n">
        <x:f>H1546+G1547</x:f>
        <x:v>10447926.029999996</x:v>
      </x:c>
    </x:row>
    <x:row r="1548">
      <x:c r="A1548" s="20" t="n">
        <x:v>46193</x:v>
      </x:c>
      <x:c r="B1548" s="21" t="str">
        <x:v>DP-2026-028188</x:v>
      </x:c>
      <x:c r="C1548" s="21" t="str">
        <x:v>ACH PAYMENT - Williams, Baker and Santos - DP-2026-028188</x:v>
      </x:c>
      <x:c r="D1548" s="21" t="str">
        <x:v>Supplier payment</x:v>
      </x:c>
      <x:c r="E1548" s="18" t="n">
        <x:v>182.45</x:v>
      </x:c>
      <x:c r="F1548" s="18"/>
      <x:c r="G1548" s="18" t="n">
        <x:v>-182.45</x:v>
      </x:c>
      <x:c r="H1548" s="18" t="n">
        <x:f>H1547+G1548</x:f>
        <x:v>10447743.579999996</x:v>
      </x:c>
    </x:row>
    <x:row r="1549">
      <x:c r="A1549" s="20" t="n">
        <x:v>46193</x:v>
      </x:c>
      <x:c r="B1549" s="21" t="str">
        <x:v>DP-2026-028213</x:v>
      </x:c>
      <x:c r="C1549" s="21" t="str">
        <x:v>ACH PAYMENT - Salas, Gallagher and Anderson - DP-2026-028213</x:v>
      </x:c>
      <x:c r="D1549" s="21" t="str">
        <x:v>Supplier payment</x:v>
      </x:c>
      <x:c r="E1549" s="18" t="n">
        <x:v>206.36</x:v>
      </x:c>
      <x:c r="F1549" s="18"/>
      <x:c r="G1549" s="18" t="n">
        <x:v>-206.36</x:v>
      </x:c>
      <x:c r="H1549" s="18" t="n">
        <x:f>H1548+G1549</x:f>
        <x:v>10447537.219999997</x:v>
      </x:c>
    </x:row>
    <x:row r="1550">
      <x:c r="A1550" s="20" t="n">
        <x:v>46193</x:v>
      </x:c>
      <x:c r="B1550" s="21" t="str">
        <x:v>DP-2026-028219</x:v>
      </x:c>
      <x:c r="C1550" s="21" t="str">
        <x:v>WIRE TRANSFER PAYMENT - Bailey, Gutierrez and Cameron - DP-2026-028219</x:v>
      </x:c>
      <x:c r="D1550" s="21" t="str">
        <x:v>Supplier payment</x:v>
      </x:c>
      <x:c r="E1550" s="18" t="n">
        <x:v>235.07</x:v>
      </x:c>
      <x:c r="F1550" s="18"/>
      <x:c r="G1550" s="18" t="n">
        <x:v>-235.07</x:v>
      </x:c>
      <x:c r="H1550" s="18" t="n">
        <x:f>H1549+G1550</x:f>
        <x:v>10447302.149999997</x:v>
      </x:c>
    </x:row>
    <x:row r="1551">
      <x:c r="A1551" s="20" t="n">
        <x:v>46193</x:v>
      </x:c>
      <x:c r="B1551" s="21" t="str">
        <x:v>DP-2026-028290</x:v>
      </x:c>
      <x:c r="C1551" s="21" t="str">
        <x:v>ACH PAYMENT - Bell, Pruitt and David - DP-2026-028290</x:v>
      </x:c>
      <x:c r="D1551" s="21" t="str">
        <x:v>Supplier payment</x:v>
      </x:c>
      <x:c r="E1551" s="18" t="n">
        <x:v>34.23</x:v>
      </x:c>
      <x:c r="F1551" s="18"/>
      <x:c r="G1551" s="18" t="n">
        <x:v>-34.23</x:v>
      </x:c>
      <x:c r="H1551" s="18" t="n">
        <x:f>H1550+G1551</x:f>
        <x:v>10447267.919999996</x:v>
      </x:c>
    </x:row>
    <x:row r="1552">
      <x:c r="A1552" s="20" t="n">
        <x:v>46193</x:v>
      </x:c>
      <x:c r="B1552" s="21" t="str">
        <x:v>DP-2026-028333</x:v>
      </x:c>
      <x:c r="C1552" s="21" t="str">
        <x:v>WIRE TRANSFER PAYMENT - Brooks, Johnson and Olson - DP-2026-028333</x:v>
      </x:c>
      <x:c r="D1552" s="21" t="str">
        <x:v>Supplier payment</x:v>
      </x:c>
      <x:c r="E1552" s="18" t="n">
        <x:v>14000.84</x:v>
      </x:c>
      <x:c r="F1552" s="18"/>
      <x:c r="G1552" s="18" t="n">
        <x:v>-14000.84</x:v>
      </x:c>
      <x:c r="H1552" s="18" t="n">
        <x:f>H1551+G1552</x:f>
        <x:v>10433267.079999996</x:v>
      </x:c>
    </x:row>
    <x:row r="1553">
      <x:c r="A1553" s="20" t="n">
        <x:v>46193</x:v>
      </x:c>
      <x:c r="B1553" s="21" t="str">
        <x:v>DP-2026-028345</x:v>
      </x:c>
      <x:c r="C1553" s="21" t="str">
        <x:v>ACH PAYMENT - Peters, Terry and Zimmerman - DP-2026-028345</x:v>
      </x:c>
      <x:c r="D1553" s="21" t="str">
        <x:v>Supplier payment</x:v>
      </x:c>
      <x:c r="E1553" s="18" t="n">
        <x:v>1271.12</x:v>
      </x:c>
      <x:c r="F1553" s="18"/>
      <x:c r="G1553" s="18" t="n">
        <x:v>-1271.12</x:v>
      </x:c>
      <x:c r="H1553" s="18" t="n">
        <x:f>H1552+G1553</x:f>
        <x:v>10431995.959999997</x:v>
      </x:c>
    </x:row>
    <x:row r="1554">
      <x:c r="A1554" s="20" t="n">
        <x:v>46193</x:v>
      </x:c>
      <x:c r="B1554" s="21" t="str">
        <x:v>DP-2026-028361</x:v>
      </x:c>
      <x:c r="C1554" s="21" t="str">
        <x:v>ACH PAYMENT - Jones Group - DP-2026-028361</x:v>
      </x:c>
      <x:c r="D1554" s="21" t="str">
        <x:v>Supplier payment</x:v>
      </x:c>
      <x:c r="E1554" s="18" t="n">
        <x:v>740.03</x:v>
      </x:c>
      <x:c r="F1554" s="18"/>
      <x:c r="G1554" s="18" t="n">
        <x:v>-740.03</x:v>
      </x:c>
      <x:c r="H1554" s="18" t="n">
        <x:f>H1553+G1554</x:f>
        <x:v>10431255.929999998</x:v>
      </x:c>
    </x:row>
    <x:row r="1555">
      <x:c r="A1555" s="20" t="n">
        <x:v>46193</x:v>
      </x:c>
      <x:c r="B1555" s="21" t="str">
        <x:v>DP-2026-028409</x:v>
      </x:c>
      <x:c r="C1555" s="21" t="str">
        <x:v>WIRE TRANSFER PAYMENT - Velasquez-Baxter - DP-2026-028409</x:v>
      </x:c>
      <x:c r="D1555" s="21" t="str">
        <x:v>Supplier payment</x:v>
      </x:c>
      <x:c r="E1555" s="18" t="n">
        <x:v>438.55</x:v>
      </x:c>
      <x:c r="F1555" s="18"/>
      <x:c r="G1555" s="18" t="n">
        <x:v>-438.55</x:v>
      </x:c>
      <x:c r="H1555" s="18" t="n">
        <x:f>H1554+G1555</x:f>
        <x:v>10430817.379999997</x:v>
      </x:c>
    </x:row>
    <x:row r="1556">
      <x:c r="A1556" s="20" t="n">
        <x:v>46193</x:v>
      </x:c>
      <x:c r="B1556" s="21" t="str">
        <x:v>DP-2026-028423</x:v>
      </x:c>
      <x:c r="C1556" s="21" t="str">
        <x:v>ACH PAYMENT - Garcia Group - DP-2026-028423</x:v>
      </x:c>
      <x:c r="D1556" s="21" t="str">
        <x:v>Supplier payment</x:v>
      </x:c>
      <x:c r="E1556" s="18" t="n">
        <x:v>52.83</x:v>
      </x:c>
      <x:c r="F1556" s="18"/>
      <x:c r="G1556" s="18" t="n">
        <x:v>-52.83</x:v>
      </x:c>
      <x:c r="H1556" s="18" t="n">
        <x:f>H1555+G1556</x:f>
        <x:v>10430764.549999997</x:v>
      </x:c>
    </x:row>
    <x:row r="1557">
      <x:c r="A1557" s="20" t="n">
        <x:v>46193</x:v>
      </x:c>
      <x:c r="B1557" s="21" t="str">
        <x:v>DP-2026-028441</x:v>
      </x:c>
      <x:c r="C1557" s="21" t="str">
        <x:v>ACH PAYMENT - Gomez PLC - DP-2026-028441</x:v>
      </x:c>
      <x:c r="D1557" s="21" t="str">
        <x:v>Supplier payment</x:v>
      </x:c>
      <x:c r="E1557" s="18" t="n">
        <x:v>37.22</x:v>
      </x:c>
      <x:c r="F1557" s="18"/>
      <x:c r="G1557" s="18" t="n">
        <x:v>-37.22</x:v>
      </x:c>
      <x:c r="H1557" s="18" t="n">
        <x:f>H1556+G1557</x:f>
        <x:v>10430727.329999996</x:v>
      </x:c>
    </x:row>
    <x:row r="1558">
      <x:c r="A1558" s="20" t="n">
        <x:v>46194</x:v>
      </x:c>
      <x:c r="B1558" s="21" t="str">
        <x:v>AR00005973</x:v>
      </x:c>
      <x:c r="C1558" s="21" t="str">
        <x:v>CUSTOMER DEPOSIT - Vaughn Group - CR-2026-005973</x:v>
      </x:c>
      <x:c r="D1558" s="21" t="str">
        <x:v>Customer deposit</x:v>
      </x:c>
      <x:c r="E1558" s="18"/>
      <x:c r="F1558" s="18" t="n">
        <x:v>4201.45</x:v>
      </x:c>
      <x:c r="G1558" s="18" t="n">
        <x:v>4201.45</x:v>
      </x:c>
      <x:c r="H1558" s="18" t="n">
        <x:f>H1557+G1558</x:f>
        <x:v>10434928.779999996</x:v>
      </x:c>
    </x:row>
    <x:row r="1559">
      <x:c r="A1559" s="20" t="n">
        <x:v>46194</x:v>
      </x:c>
      <x:c r="B1559" s="21" t="str">
        <x:v>AR00006009</x:v>
      </x:c>
      <x:c r="C1559" s="21" t="str">
        <x:v>CUSTOMER DEPOSIT - Hayes-Bass - CR-2026-006009</x:v>
      </x:c>
      <x:c r="D1559" s="21" t="str">
        <x:v>Customer deposit</x:v>
      </x:c>
      <x:c r="E1559" s="18"/>
      <x:c r="F1559" s="18" t="n">
        <x:v>2868.39</x:v>
      </x:c>
      <x:c r="G1559" s="18" t="n">
        <x:v>2868.39</x:v>
      </x:c>
      <x:c r="H1559" s="18" t="n">
        <x:f>H1558+G1559</x:f>
        <x:v>10437797.169999996</x:v>
      </x:c>
    </x:row>
    <x:row r="1560">
      <x:c r="A1560" s="20" t="n">
        <x:v>46194</x:v>
      </x:c>
      <x:c r="B1560" s="21" t="str">
        <x:v>AR00006065</x:v>
      </x:c>
      <x:c r="C1560" s="21" t="str">
        <x:v>CUSTOMER DEPOSIT - Nichols Ltd - CR-2026-006065</x:v>
      </x:c>
      <x:c r="D1560" s="21" t="str">
        <x:v>Customer deposit</x:v>
      </x:c>
      <x:c r="E1560" s="18"/>
      <x:c r="F1560" s="18" t="n">
        <x:v>5281.87</x:v>
      </x:c>
      <x:c r="G1560" s="18" t="n">
        <x:v>5281.87</x:v>
      </x:c>
      <x:c r="H1560" s="18" t="n">
        <x:f>H1559+G1560</x:f>
        <x:v>10443079.039999995</x:v>
      </x:c>
    </x:row>
    <x:row r="1561">
      <x:c r="A1561" s="20" t="n">
        <x:v>46194</x:v>
      </x:c>
      <x:c r="B1561" s="21" t="str">
        <x:v>AR00006095</x:v>
      </x:c>
      <x:c r="C1561" s="21" t="str">
        <x:v>CUSTOMER DEPOSIT - Church, Phillips and Hunt - CR-2026-006095</x:v>
      </x:c>
      <x:c r="D1561" s="21" t="str">
        <x:v>Customer deposit</x:v>
      </x:c>
      <x:c r="E1561" s="18"/>
      <x:c r="F1561" s="18" t="n">
        <x:v>21494.2</x:v>
      </x:c>
      <x:c r="G1561" s="18" t="n">
        <x:v>21494.2</x:v>
      </x:c>
      <x:c r="H1561" s="18" t="n">
        <x:f>H1560+G1561</x:f>
        <x:v>10464573.239999995</x:v>
      </x:c>
    </x:row>
    <x:row r="1562">
      <x:c r="A1562" s="20" t="n">
        <x:v>46194</x:v>
      </x:c>
      <x:c r="B1562" s="21" t="str">
        <x:v>AR00006120</x:v>
      </x:c>
      <x:c r="C1562" s="21" t="str">
        <x:v>CUSTOMER DEPOSIT - Marsh-Johnson - CR-2026-006120</x:v>
      </x:c>
      <x:c r="D1562" s="21" t="str">
        <x:v>Customer deposit</x:v>
      </x:c>
      <x:c r="E1562" s="18"/>
      <x:c r="F1562" s="18" t="n">
        <x:v>5248.12</x:v>
      </x:c>
      <x:c r="G1562" s="18" t="n">
        <x:v>5248.12</x:v>
      </x:c>
      <x:c r="H1562" s="18" t="n">
        <x:f>H1561+G1562</x:f>
        <x:v>10469821.359999994</x:v>
      </x:c>
    </x:row>
    <x:row r="1563">
      <x:c r="A1563" s="20" t="n">
        <x:v>46194</x:v>
      </x:c>
      <x:c r="B1563" s="21" t="str">
        <x:v>AR00006129</x:v>
      </x:c>
      <x:c r="C1563" s="21" t="str">
        <x:v>CUSTOMER DEPOSIT - Buck Group - CR-2026-006129</x:v>
      </x:c>
      <x:c r="D1563" s="21" t="str">
        <x:v>Customer deposit</x:v>
      </x:c>
      <x:c r="E1563" s="18"/>
      <x:c r="F1563" s="18" t="n">
        <x:v>1062.03</x:v>
      </x:c>
      <x:c r="G1563" s="18" t="n">
        <x:v>1062.03</x:v>
      </x:c>
      <x:c r="H1563" s="18" t="n">
        <x:f>H1562+G1563</x:f>
        <x:v>10470883.389999993</x:v>
      </x:c>
    </x:row>
    <x:row r="1564">
      <x:c r="A1564" s="20" t="n">
        <x:v>46194</x:v>
      </x:c>
      <x:c r="B1564" s="21" t="str">
        <x:v>CHK0027160</x:v>
      </x:c>
      <x:c r="C1564" s="21" t="str">
        <x:v>CHECK PAYMENT - Lindsey and Sons - DP-2026-027160</x:v>
      </x:c>
      <x:c r="D1564" s="21" t="str">
        <x:v>Supplier payment</x:v>
      </x:c>
      <x:c r="E1564" s="18" t="n">
        <x:v>273.51</x:v>
      </x:c>
      <x:c r="F1564" s="18"/>
      <x:c r="G1564" s="18" t="n">
        <x:v>-273.51</x:v>
      </x:c>
      <x:c r="H1564" s="18" t="n">
        <x:f>H1563+G1564</x:f>
        <x:v>10470609.879999993</x:v>
      </x:c>
    </x:row>
    <x:row r="1565">
      <x:c r="A1565" s="20" t="n">
        <x:v>46194</x:v>
      </x:c>
      <x:c r="B1565" s="21" t="str">
        <x:v>CHK0027171</x:v>
      </x:c>
      <x:c r="C1565" s="21" t="str">
        <x:v>CHECK PAYMENT - Keith PLC - DP-2026-027171</x:v>
      </x:c>
      <x:c r="D1565" s="21" t="str">
        <x:v>Supplier payment</x:v>
      </x:c>
      <x:c r="E1565" s="18" t="n">
        <x:v>795.32</x:v>
      </x:c>
      <x:c r="F1565" s="18"/>
      <x:c r="G1565" s="18" t="n">
        <x:v>-795.32</x:v>
      </x:c>
      <x:c r="H1565" s="18" t="n">
        <x:f>H1564+G1565</x:f>
        <x:v>10469814.559999993</x:v>
      </x:c>
    </x:row>
    <x:row r="1566">
      <x:c r="A1566" s="20" t="n">
        <x:v>46194</x:v>
      </x:c>
      <x:c r="B1566" s="21" t="str">
        <x:v>CHK0027172</x:v>
      </x:c>
      <x:c r="C1566" s="21" t="str">
        <x:v>CHECK PAYMENT - Collins-Johnson - DP-2026-027172</x:v>
      </x:c>
      <x:c r="D1566" s="21" t="str">
        <x:v>Supplier payment</x:v>
      </x:c>
      <x:c r="E1566" s="18" t="n">
        <x:v>485.36</x:v>
      </x:c>
      <x:c r="F1566" s="18"/>
      <x:c r="G1566" s="18" t="n">
        <x:v>-485.36</x:v>
      </x:c>
      <x:c r="H1566" s="18" t="n">
        <x:f>H1565+G1566</x:f>
        <x:v>10469329.199999994</x:v>
      </x:c>
    </x:row>
    <x:row r="1567">
      <x:c r="A1567" s="20" t="n">
        <x:v>46194</x:v>
      </x:c>
      <x:c r="B1567" s="21" t="str">
        <x:v>CHK0027177</x:v>
      </x:c>
      <x:c r="C1567" s="21" t="str">
        <x:v>CHECK PAYMENT - Hester Ltd - DP-2026-027177</x:v>
      </x:c>
      <x:c r="D1567" s="21" t="str">
        <x:v>Supplier payment</x:v>
      </x:c>
      <x:c r="E1567" s="18" t="n">
        <x:v>177.94</x:v>
      </x:c>
      <x:c r="F1567" s="18"/>
      <x:c r="G1567" s="18" t="n">
        <x:v>-177.94</x:v>
      </x:c>
      <x:c r="H1567" s="18" t="n">
        <x:f>H1566+G1567</x:f>
        <x:v>10469151.259999994</x:v>
      </x:c>
    </x:row>
    <x:row r="1568">
      <x:c r="A1568" s="20" t="n">
        <x:v>46194</x:v>
      </x:c>
      <x:c r="B1568" s="21" t="str">
        <x:v>CHK0028201</x:v>
      </x:c>
      <x:c r="C1568" s="21" t="str">
        <x:v>CHECK PAYMENT - Powers-Daniels - DP-2026-028201</x:v>
      </x:c>
      <x:c r="D1568" s="21" t="str">
        <x:v>Supplier payment</x:v>
      </x:c>
      <x:c r="E1568" s="18" t="n">
        <x:v>674.6</x:v>
      </x:c>
      <x:c r="F1568" s="18"/>
      <x:c r="G1568" s="18" t="n">
        <x:v>-674.6</x:v>
      </x:c>
      <x:c r="H1568" s="18" t="n">
        <x:f>H1567+G1568</x:f>
        <x:v>10468476.659999995</x:v>
      </x:c>
    </x:row>
    <x:row r="1569">
      <x:c r="A1569" s="20" t="n">
        <x:v>46194</x:v>
      </x:c>
      <x:c r="B1569" s="21" t="str">
        <x:v>CHK0028323</x:v>
      </x:c>
      <x:c r="C1569" s="21" t="str">
        <x:v>CHECK PAYMENT - Weeks Group - DP-2026-028323</x:v>
      </x:c>
      <x:c r="D1569" s="21" t="str">
        <x:v>Supplier payment</x:v>
      </x:c>
      <x:c r="E1569" s="18" t="n">
        <x:v>465.68</x:v>
      </x:c>
      <x:c r="F1569" s="18"/>
      <x:c r="G1569" s="18" t="n">
        <x:v>-465.68</x:v>
      </x:c>
      <x:c r="H1569" s="18" t="n">
        <x:f>H1568+G1569</x:f>
        <x:v>10468010.979999995</x:v>
      </x:c>
    </x:row>
    <x:row r="1570">
      <x:c r="A1570" s="20" t="n">
        <x:v>46194</x:v>
      </x:c>
      <x:c r="B1570" s="21" t="str">
        <x:v>CHK0028358</x:v>
      </x:c>
      <x:c r="C1570" s="21" t="str">
        <x:v>CHECK PAYMENT - Hale-Hart - DP-2026-028358</x:v>
      </x:c>
      <x:c r="D1570" s="21" t="str">
        <x:v>Supplier payment</x:v>
      </x:c>
      <x:c r="E1570" s="18" t="n">
        <x:v>252.97</x:v>
      </x:c>
      <x:c r="F1570" s="18"/>
      <x:c r="G1570" s="18" t="n">
        <x:v>-252.97</x:v>
      </x:c>
      <x:c r="H1570" s="18" t="n">
        <x:f>H1569+G1570</x:f>
        <x:v>10467758.009999994</x:v>
      </x:c>
    </x:row>
    <x:row r="1571">
      <x:c r="A1571" s="20" t="n">
        <x:v>46194</x:v>
      </x:c>
      <x:c r="B1571" s="21" t="str">
        <x:v>CHK0028407</x:v>
      </x:c>
      <x:c r="C1571" s="21" t="str">
        <x:v>CHECK PAYMENT - Hester Ltd - DP-2026-028407</x:v>
      </x:c>
      <x:c r="D1571" s="21" t="str">
        <x:v>Supplier payment</x:v>
      </x:c>
      <x:c r="E1571" s="18" t="n">
        <x:v>387.91</x:v>
      </x:c>
      <x:c r="F1571" s="18"/>
      <x:c r="G1571" s="18" t="n">
        <x:v>-387.91</x:v>
      </x:c>
      <x:c r="H1571" s="18" t="n">
        <x:f>H1570+G1571</x:f>
        <x:v>10467370.099999994</x:v>
      </x:c>
    </x:row>
    <x:row r="1572">
      <x:c r="A1572" s="20" t="n">
        <x:v>46194</x:v>
      </x:c>
      <x:c r="B1572" s="21" t="str">
        <x:v>CHK0028408</x:v>
      </x:c>
      <x:c r="C1572" s="21" t="str">
        <x:v>CHECK PAYMENT - Berger, Stanley and Cooper - DP-2026-028408</x:v>
      </x:c>
      <x:c r="D1572" s="21" t="str">
        <x:v>Supplier payment</x:v>
      </x:c>
      <x:c r="E1572" s="18" t="n">
        <x:v>434.32</x:v>
      </x:c>
      <x:c r="F1572" s="18"/>
      <x:c r="G1572" s="18" t="n">
        <x:v>-434.32</x:v>
      </x:c>
      <x:c r="H1572" s="18" t="n">
        <x:f>H1571+G1572</x:f>
        <x:v>10466935.779999994</x:v>
      </x:c>
    </x:row>
    <x:row r="1573">
      <x:c r="A1573" s="20" t="n">
        <x:v>46194</x:v>
      </x:c>
      <x:c r="B1573" s="21" t="str">
        <x:v>DP-2026-027158</x:v>
      </x:c>
      <x:c r="C1573" s="21" t="str">
        <x:v>WIRE TRANSFER PAYMENT - Nguyen-Davis - DP-2026-027158</x:v>
      </x:c>
      <x:c r="D1573" s="21" t="str">
        <x:v>Supplier payment</x:v>
      </x:c>
      <x:c r="E1573" s="18" t="n">
        <x:v>105.59</x:v>
      </x:c>
      <x:c r="F1573" s="18"/>
      <x:c r="G1573" s="18" t="n">
        <x:v>-105.59</x:v>
      </x:c>
      <x:c r="H1573" s="18" t="n">
        <x:f>H1572+G1573</x:f>
        <x:v>10466830.189999994</x:v>
      </x:c>
    </x:row>
    <x:row r="1574">
      <x:c r="A1574" s="20" t="n">
        <x:v>46194</x:v>
      </x:c>
      <x:c r="B1574" s="21" t="str">
        <x:v>DP-2026-027162</x:v>
      </x:c>
      <x:c r="C1574" s="21" t="str">
        <x:v>ACH PAYMENT - Garcia Group - DP-2026-027162</x:v>
      </x:c>
      <x:c r="D1574" s="21" t="str">
        <x:v>Supplier payment</x:v>
      </x:c>
      <x:c r="E1574" s="18" t="n">
        <x:v>2516.65</x:v>
      </x:c>
      <x:c r="F1574" s="18"/>
      <x:c r="G1574" s="18" t="n">
        <x:v>-2516.65</x:v>
      </x:c>
      <x:c r="H1574" s="18" t="n">
        <x:f>H1573+G1574</x:f>
        <x:v>10464313.539999994</x:v>
      </x:c>
    </x:row>
    <x:row r="1575">
      <x:c r="A1575" s="20" t="n">
        <x:v>46194</x:v>
      </x:c>
      <x:c r="B1575" s="21" t="str">
        <x:v>DP-2026-027163</x:v>
      </x:c>
      <x:c r="C1575" s="21" t="str">
        <x:v>ACH PAYMENT - Henderson, Bennett and Pena - DP-2026-027163</x:v>
      </x:c>
      <x:c r="D1575" s="21" t="str">
        <x:v>Supplier payment</x:v>
      </x:c>
      <x:c r="E1575" s="18" t="n">
        <x:v>8637.71</x:v>
      </x:c>
      <x:c r="F1575" s="18"/>
      <x:c r="G1575" s="18" t="n">
        <x:v>-8637.71</x:v>
      </x:c>
      <x:c r="H1575" s="18" t="n">
        <x:f>H1574+G1575</x:f>
        <x:v>10455675.829999993</x:v>
      </x:c>
    </x:row>
    <x:row r="1576">
      <x:c r="A1576" s="20" t="n">
        <x:v>46194</x:v>
      </x:c>
      <x:c r="B1576" s="21" t="str">
        <x:v>DP-2026-027173</x:v>
      </x:c>
      <x:c r="C1576" s="21" t="str">
        <x:v>ACH PAYMENT - Simmons, Tucker and Huang - DP-2026-027173</x:v>
      </x:c>
      <x:c r="D1576" s="21" t="str">
        <x:v>Supplier payment</x:v>
      </x:c>
      <x:c r="E1576" s="18" t="n">
        <x:v>4086.33</x:v>
      </x:c>
      <x:c r="F1576" s="18"/>
      <x:c r="G1576" s="18" t="n">
        <x:v>-4086.33</x:v>
      </x:c>
      <x:c r="H1576" s="18" t="n">
        <x:f>H1575+G1576</x:f>
        <x:v>10451589.499999993</x:v>
      </x:c>
    </x:row>
    <x:row r="1577">
      <x:c r="A1577" s="20" t="n">
        <x:v>46194</x:v>
      </x:c>
      <x:c r="B1577" s="21" t="str">
        <x:v>DP-2026-028113</x:v>
      </x:c>
      <x:c r="C1577" s="21" t="str">
        <x:v>WIRE TRANSFER PAYMENT - Gardner-Shelton - DP-2026-028113</x:v>
      </x:c>
      <x:c r="D1577" s="21" t="str">
        <x:v>Supplier payment</x:v>
      </x:c>
      <x:c r="E1577" s="18" t="n">
        <x:v>645.3</x:v>
      </x:c>
      <x:c r="F1577" s="18"/>
      <x:c r="G1577" s="18" t="n">
        <x:v>-645.3</x:v>
      </x:c>
      <x:c r="H1577" s="18" t="n">
        <x:f>H1576+G1577</x:f>
        <x:v>10450944.199999992</x:v>
      </x:c>
    </x:row>
    <x:row r="1578">
      <x:c r="A1578" s="20" t="n">
        <x:v>46194</x:v>
      </x:c>
      <x:c r="B1578" s="21" t="str">
        <x:v>DP-2026-028205</x:v>
      </x:c>
      <x:c r="C1578" s="21" t="str">
        <x:v>WIRE TRANSFER PAYMENT - Brooks, Johnson and Olson - DP-2026-028205</x:v>
      </x:c>
      <x:c r="D1578" s="21" t="str">
        <x:v>Supplier payment</x:v>
      </x:c>
      <x:c r="E1578" s="18" t="n">
        <x:v>678.96</x:v>
      </x:c>
      <x:c r="F1578" s="18"/>
      <x:c r="G1578" s="18" t="n">
        <x:v>-678.96</x:v>
      </x:c>
      <x:c r="H1578" s="18" t="n">
        <x:f>H1577+G1578</x:f>
        <x:v>10450265.23999999</x:v>
      </x:c>
    </x:row>
    <x:row r="1579">
      <x:c r="A1579" s="20" t="n">
        <x:v>46194</x:v>
      </x:c>
      <x:c r="B1579" s="21" t="str">
        <x:v>DP-2026-028211</x:v>
      </x:c>
      <x:c r="C1579" s="21" t="str">
        <x:v>WIRE TRANSFER PAYMENT - Lucas, Green and Richardson - DP-2026-028211</x:v>
      </x:c>
      <x:c r="D1579" s="21" t="str">
        <x:v>Supplier payment</x:v>
      </x:c>
      <x:c r="E1579" s="18" t="n">
        <x:v>223.62</x:v>
      </x:c>
      <x:c r="F1579" s="18"/>
      <x:c r="G1579" s="18" t="n">
        <x:v>-223.62</x:v>
      </x:c>
      <x:c r="H1579" s="18" t="n">
        <x:f>H1578+G1579</x:f>
        <x:v>10450041.619999992</x:v>
      </x:c>
    </x:row>
    <x:row r="1580">
      <x:c r="A1580" s="20" t="n">
        <x:v>46194</x:v>
      </x:c>
      <x:c r="B1580" s="21" t="str">
        <x:v>DP-2026-028247</x:v>
      </x:c>
      <x:c r="C1580" s="21" t="str">
        <x:v>ACH PAYMENT - Bailey, Gutierrez and Cameron - DP-2026-028247</x:v>
      </x:c>
      <x:c r="D1580" s="21" t="str">
        <x:v>Supplier payment</x:v>
      </x:c>
      <x:c r="E1580" s="18" t="n">
        <x:v>290.25</x:v>
      </x:c>
      <x:c r="F1580" s="18"/>
      <x:c r="G1580" s="18" t="n">
        <x:v>-290.25</x:v>
      </x:c>
      <x:c r="H1580" s="18" t="n">
        <x:f>H1579+G1580</x:f>
        <x:v>10449751.369999992</x:v>
      </x:c>
    </x:row>
    <x:row r="1581">
      <x:c r="A1581" s="20" t="n">
        <x:v>46194</x:v>
      </x:c>
      <x:c r="B1581" s="21" t="str">
        <x:v>DP-2026-028276</x:v>
      </x:c>
      <x:c r="C1581" s="21" t="str">
        <x:v>ACH PAYMENT - Bell, Pruitt and David - DP-2026-028276</x:v>
      </x:c>
      <x:c r="D1581" s="21" t="str">
        <x:v>Supplier payment</x:v>
      </x:c>
      <x:c r="E1581" s="18" t="n">
        <x:v>601.73</x:v>
      </x:c>
      <x:c r="F1581" s="18"/>
      <x:c r="G1581" s="18" t="n">
        <x:v>-601.73</x:v>
      </x:c>
      <x:c r="H1581" s="18" t="n">
        <x:f>H1580+G1581</x:f>
        <x:v>10449149.639999991</x:v>
      </x:c>
    </x:row>
    <x:row r="1582">
      <x:c r="A1582" s="20" t="n">
        <x:v>46194</x:v>
      </x:c>
      <x:c r="B1582" s="21" t="str">
        <x:v>DP-2026-028285</x:v>
      </x:c>
      <x:c r="C1582" s="21" t="str">
        <x:v>ACH PAYMENT - Perez, Schultz and Ward - DP-2026-028285</x:v>
      </x:c>
      <x:c r="D1582" s="21" t="str">
        <x:v>Supplier payment</x:v>
      </x:c>
      <x:c r="E1582" s="18" t="n">
        <x:v>1936.24</x:v>
      </x:c>
      <x:c r="F1582" s="18"/>
      <x:c r="G1582" s="18" t="n">
        <x:v>-1936.24</x:v>
      </x:c>
      <x:c r="H1582" s="18" t="n">
        <x:f>H1581+G1582</x:f>
        <x:v>10447213.399999991</x:v>
      </x:c>
    </x:row>
    <x:row r="1583">
      <x:c r="A1583" s="20" t="n">
        <x:v>46194</x:v>
      </x:c>
      <x:c r="B1583" s="21" t="str">
        <x:v>DP-2026-028302</x:v>
      </x:c>
      <x:c r="C1583" s="21" t="str">
        <x:v>ACH PAYMENT - Clayton-Thompson - DP-2026-028302</x:v>
      </x:c>
      <x:c r="D1583" s="21" t="str">
        <x:v>Supplier payment</x:v>
      </x:c>
      <x:c r="E1583" s="18" t="n">
        <x:v>1016.26</x:v>
      </x:c>
      <x:c r="F1583" s="18"/>
      <x:c r="G1583" s="18" t="n">
        <x:v>-1016.26</x:v>
      </x:c>
      <x:c r="H1583" s="18" t="n">
        <x:f>H1582+G1583</x:f>
        <x:v>10446197.139999991</x:v>
      </x:c>
    </x:row>
    <x:row r="1584">
      <x:c r="A1584" s="20" t="n">
        <x:v>46194</x:v>
      </x:c>
      <x:c r="B1584" s="21" t="str">
        <x:v>DP-2026-028318</x:v>
      </x:c>
      <x:c r="C1584" s="21" t="str">
        <x:v>ACH PAYMENT - Hoffman LLC - DP-2026-028318</x:v>
      </x:c>
      <x:c r="D1584" s="21" t="str">
        <x:v>Supplier payment</x:v>
      </x:c>
      <x:c r="E1584" s="18" t="n">
        <x:v>498.75</x:v>
      </x:c>
      <x:c r="F1584" s="18"/>
      <x:c r="G1584" s="18" t="n">
        <x:v>-498.75</x:v>
      </x:c>
      <x:c r="H1584" s="18" t="n">
        <x:f>H1583+G1584</x:f>
        <x:v>10445698.389999991</x:v>
      </x:c>
    </x:row>
    <x:row r="1585">
      <x:c r="A1585" s="20" t="n">
        <x:v>46194</x:v>
      </x:c>
      <x:c r="B1585" s="21" t="str">
        <x:v>DP-2026-028356</x:v>
      </x:c>
      <x:c r="C1585" s="21" t="str">
        <x:v>ACH PAYMENT - Harris and Sons - DP-2026-028356</x:v>
      </x:c>
      <x:c r="D1585" s="21" t="str">
        <x:v>Supplier payment</x:v>
      </x:c>
      <x:c r="E1585" s="18" t="n">
        <x:v>791.7</x:v>
      </x:c>
      <x:c r="F1585" s="18"/>
      <x:c r="G1585" s="18" t="n">
        <x:v>-791.7</x:v>
      </x:c>
      <x:c r="H1585" s="18" t="n">
        <x:f>H1584+G1585</x:f>
        <x:v>10444906.689999992</x:v>
      </x:c>
    </x:row>
    <x:row r="1586">
      <x:c r="A1586" s="20" t="n">
        <x:v>46195</x:v>
      </x:c>
      <x:c r="B1586" s="21" t="str">
        <x:v>AR00005940</x:v>
      </x:c>
      <x:c r="C1586" s="21" t="str">
        <x:v>CUSTOMER DEPOSIT - Ortiz Group - CR-2026-005940</x:v>
      </x:c>
      <x:c r="D1586" s="21" t="str">
        <x:v>Customer deposit</x:v>
      </x:c>
      <x:c r="E1586" s="18"/>
      <x:c r="F1586" s="18" t="n">
        <x:v>10584.98</x:v>
      </x:c>
      <x:c r="G1586" s="18" t="n">
        <x:v>10584.98</x:v>
      </x:c>
      <x:c r="H1586" s="18" t="n">
        <x:f>H1585+G1586</x:f>
        <x:v>10455491.669999992</x:v>
      </x:c>
    </x:row>
    <x:row r="1587">
      <x:c r="A1587" s="20" t="n">
        <x:v>46195</x:v>
      </x:c>
      <x:c r="B1587" s="21" t="str">
        <x:v>AR00006108</x:v>
      </x:c>
      <x:c r="C1587" s="21" t="str">
        <x:v>CUSTOMER DEPOSIT - Ramirez Inc - CR-2026-006108</x:v>
      </x:c>
      <x:c r="D1587" s="21" t="str">
        <x:v>Customer deposit</x:v>
      </x:c>
      <x:c r="E1587" s="18"/>
      <x:c r="F1587" s="18" t="n">
        <x:v>39161.11</x:v>
      </x:c>
      <x:c r="G1587" s="18" t="n">
        <x:v>39161.11</x:v>
      </x:c>
      <x:c r="H1587" s="18" t="n">
        <x:f>H1586+G1587</x:f>
        <x:v>10494652.779999992</x:v>
      </x:c>
    </x:row>
    <x:row r="1588">
      <x:c r="A1588" s="20" t="n">
        <x:v>46195</x:v>
      </x:c>
      <x:c r="B1588" s="21" t="str">
        <x:v>CHK0028093</x:v>
      </x:c>
      <x:c r="C1588" s="21" t="str">
        <x:v>CHECK PAYMENT - Bailey, Gutierrez and Cameron - DP-2026-028093</x:v>
      </x:c>
      <x:c r="D1588" s="21" t="str">
        <x:v>Supplier payment</x:v>
      </x:c>
      <x:c r="E1588" s="18" t="n">
        <x:v>670.82</x:v>
      </x:c>
      <x:c r="F1588" s="18"/>
      <x:c r="G1588" s="18" t="n">
        <x:v>-670.82</x:v>
      </x:c>
      <x:c r="H1588" s="18" t="n">
        <x:f>H1587+G1588</x:f>
        <x:v>10493981.959999992</x:v>
      </x:c>
    </x:row>
    <x:row r="1589">
      <x:c r="A1589" s="20" t="n">
        <x:v>46195</x:v>
      </x:c>
      <x:c r="B1589" s="21" t="str">
        <x:v>CHK0028150</x:v>
      </x:c>
      <x:c r="C1589" s="21" t="str">
        <x:v>CHECK PAYMENT - Sanford LLC - DP-2026-028150</x:v>
      </x:c>
      <x:c r="D1589" s="21" t="str">
        <x:v>Supplier payment</x:v>
      </x:c>
      <x:c r="E1589" s="18" t="n">
        <x:v>739.54</x:v>
      </x:c>
      <x:c r="F1589" s="18"/>
      <x:c r="G1589" s="18" t="n">
        <x:v>-739.54</x:v>
      </x:c>
      <x:c r="H1589" s="18" t="n">
        <x:f>H1588+G1589</x:f>
        <x:v>10493242.419999992</x:v>
      </x:c>
    </x:row>
    <x:row r="1590">
      <x:c r="A1590" s="20" t="n">
        <x:v>46195</x:v>
      </x:c>
      <x:c r="B1590" s="21" t="str">
        <x:v>CHK0028154</x:v>
      </x:c>
      <x:c r="C1590" s="21" t="str">
        <x:v>CHECK PAYMENT - Hernandez, Melendez and Mcdowell - DP-2026-028154</x:v>
      </x:c>
      <x:c r="D1590" s="21" t="str">
        <x:v>Supplier payment</x:v>
      </x:c>
      <x:c r="E1590" s="18" t="n">
        <x:v>173.87</x:v>
      </x:c>
      <x:c r="F1590" s="18"/>
      <x:c r="G1590" s="18" t="n">
        <x:v>-173.87</x:v>
      </x:c>
      <x:c r="H1590" s="18" t="n">
        <x:f>H1589+G1590</x:f>
        <x:v>10493068.549999993</x:v>
      </x:c>
    </x:row>
    <x:row r="1591">
      <x:c r="A1591" s="20" t="n">
        <x:v>46195</x:v>
      </x:c>
      <x:c r="B1591" s="21" t="str">
        <x:v>CHK0028174</x:v>
      </x:c>
      <x:c r="C1591" s="21" t="str">
        <x:v>CHECK PAYMENT - Berger, Stanley and Cooper - DP-2026-028174</x:v>
      </x:c>
      <x:c r="D1591" s="21" t="str">
        <x:v>Supplier payment</x:v>
      </x:c>
      <x:c r="E1591" s="18" t="n">
        <x:v>4458.78</x:v>
      </x:c>
      <x:c r="F1591" s="18"/>
      <x:c r="G1591" s="18" t="n">
        <x:v>-4458.78</x:v>
      </x:c>
      <x:c r="H1591" s="18" t="n">
        <x:f>H1590+G1591</x:f>
        <x:v>10488609.769999994</x:v>
      </x:c>
    </x:row>
    <x:row r="1592">
      <x:c r="A1592" s="20" t="n">
        <x:v>46195</x:v>
      </x:c>
      <x:c r="B1592" s="21" t="str">
        <x:v>CHK0028192</x:v>
      </x:c>
      <x:c r="C1592" s="21" t="str">
        <x:v>CHECK PAYMENT - Garcia Group - DP-2026-028192</x:v>
      </x:c>
      <x:c r="D1592" s="21" t="str">
        <x:v>Supplier payment</x:v>
      </x:c>
      <x:c r="E1592" s="18" t="n">
        <x:v>1250.57</x:v>
      </x:c>
      <x:c r="F1592" s="18"/>
      <x:c r="G1592" s="18" t="n">
        <x:v>-1250.57</x:v>
      </x:c>
      <x:c r="H1592" s="18" t="n">
        <x:f>H1591+G1592</x:f>
        <x:v>10487359.199999994</x:v>
      </x:c>
    </x:row>
    <x:row r="1593">
      <x:c r="A1593" s="20" t="n">
        <x:v>46195</x:v>
      </x:c>
      <x:c r="B1593" s="21" t="str">
        <x:v>CHK0028342</x:v>
      </x:c>
      <x:c r="C1593" s="21" t="str">
        <x:v>CHECK PAYMENT - Lindsey and Sons - DP-2026-028342</x:v>
      </x:c>
      <x:c r="D1593" s="21" t="str">
        <x:v>Supplier payment</x:v>
      </x:c>
      <x:c r="E1593" s="18" t="n">
        <x:v>412.84</x:v>
      </x:c>
      <x:c r="F1593" s="18"/>
      <x:c r="G1593" s="18" t="n">
        <x:v>-412.84</x:v>
      </x:c>
      <x:c r="H1593" s="18" t="n">
        <x:f>H1592+G1593</x:f>
        <x:v>10486946.359999994</x:v>
      </x:c>
    </x:row>
    <x:row r="1594">
      <x:c r="A1594" s="20" t="n">
        <x:v>46195</x:v>
      </x:c>
      <x:c r="B1594" s="21" t="str">
        <x:v>CHK0028344</x:v>
      </x:c>
      <x:c r="C1594" s="21" t="str">
        <x:v>CHECK PAYMENT - Berger, Stanley and Cooper - DP-2026-028344</x:v>
      </x:c>
      <x:c r="D1594" s="21" t="str">
        <x:v>Supplier payment</x:v>
      </x:c>
      <x:c r="E1594" s="18" t="n">
        <x:v>241.23</x:v>
      </x:c>
      <x:c r="F1594" s="18"/>
      <x:c r="G1594" s="18" t="n">
        <x:v>-241.23</x:v>
      </x:c>
      <x:c r="H1594" s="18" t="n">
        <x:f>H1593+G1594</x:f>
        <x:v>10486705.129999993</x:v>
      </x:c>
    </x:row>
    <x:row r="1595">
      <x:c r="A1595" s="20" t="n">
        <x:v>46195</x:v>
      </x:c>
      <x:c r="B1595" s="21" t="str">
        <x:v>CHK0028443</x:v>
      </x:c>
      <x:c r="C1595" s="21" t="str">
        <x:v>CHECK PAYMENT - Collins-Johnson - DP-2026-028443</x:v>
      </x:c>
      <x:c r="D1595" s="21" t="str">
        <x:v>Supplier payment</x:v>
      </x:c>
      <x:c r="E1595" s="18" t="n">
        <x:v>256.35</x:v>
      </x:c>
      <x:c r="F1595" s="18"/>
      <x:c r="G1595" s="18" t="n">
        <x:v>-256.35</x:v>
      </x:c>
      <x:c r="H1595" s="18" t="n">
        <x:f>H1594+G1595</x:f>
        <x:v>10486448.779999994</x:v>
      </x:c>
    </x:row>
    <x:row r="1596">
      <x:c r="A1596" s="20" t="n">
        <x:v>46195</x:v>
      </x:c>
      <x:c r="B1596" s="21" t="str">
        <x:v>DP-2026-027167</x:v>
      </x:c>
      <x:c r="C1596" s="21" t="str">
        <x:v>ACH PAYMENT - Brooks, Johnson and Olson - DP-2026-027167</x:v>
      </x:c>
      <x:c r="D1596" s="21" t="str">
        <x:v>Supplier payment</x:v>
      </x:c>
      <x:c r="E1596" s="18" t="n">
        <x:v>253.7</x:v>
      </x:c>
      <x:c r="F1596" s="18"/>
      <x:c r="G1596" s="18" t="n">
        <x:v>-253.7</x:v>
      </x:c>
      <x:c r="H1596" s="18" t="n">
        <x:f>H1595+G1596</x:f>
        <x:v>10486195.079999994</x:v>
      </x:c>
    </x:row>
    <x:row r="1597">
      <x:c r="A1597" s="20" t="n">
        <x:v>46195</x:v>
      </x:c>
      <x:c r="B1597" s="21" t="str">
        <x:v>DP-2026-027169</x:v>
      </x:c>
      <x:c r="C1597" s="21" t="str">
        <x:v>ACH PAYMENT - Collins-Johnson - DP-2026-027169</x:v>
      </x:c>
      <x:c r="D1597" s="21" t="str">
        <x:v>Supplier payment</x:v>
      </x:c>
      <x:c r="E1597" s="18" t="n">
        <x:v>100.04</x:v>
      </x:c>
      <x:c r="F1597" s="18"/>
      <x:c r="G1597" s="18" t="n">
        <x:v>-100.04</x:v>
      </x:c>
      <x:c r="H1597" s="18" t="n">
        <x:f>H1596+G1597</x:f>
        <x:v>10486095.039999995</x:v>
      </x:c>
    </x:row>
    <x:row r="1598">
      <x:c r="A1598" s="20" t="n">
        <x:v>46195</x:v>
      </x:c>
      <x:c r="B1598" s="21" t="str">
        <x:v>DP-2026-027170</x:v>
      </x:c>
      <x:c r="C1598" s="21" t="str">
        <x:v>ACH PAYMENT - Morrison-Smith - DP-2026-027170</x:v>
      </x:c>
      <x:c r="D1598" s="21" t="str">
        <x:v>Supplier payment</x:v>
      </x:c>
      <x:c r="E1598" s="18" t="n">
        <x:v>1132.92</x:v>
      </x:c>
      <x:c r="F1598" s="18"/>
      <x:c r="G1598" s="18" t="n">
        <x:v>-1132.92</x:v>
      </x:c>
      <x:c r="H1598" s="18" t="n">
        <x:f>H1597+G1598</x:f>
        <x:v>10484962.119999995</x:v>
      </x:c>
    </x:row>
    <x:row r="1599">
      <x:c r="A1599" s="20" t="n">
        <x:v>46195</x:v>
      </x:c>
      <x:c r="B1599" s="21" t="str">
        <x:v>DP-2026-027175</x:v>
      </x:c>
      <x:c r="C1599" s="21" t="str">
        <x:v>ACH PAYMENT - Hester Ltd - DP-2026-027175</x:v>
      </x:c>
      <x:c r="D1599" s="21" t="str">
        <x:v>Supplier payment</x:v>
      </x:c>
      <x:c r="E1599" s="18" t="n">
        <x:v>748.37</x:v>
      </x:c>
      <x:c r="F1599" s="18"/>
      <x:c r="G1599" s="18" t="n">
        <x:v>-748.37</x:v>
      </x:c>
      <x:c r="H1599" s="18" t="n">
        <x:f>H1598+G1599</x:f>
        <x:v>10484213.749999996</x:v>
      </x:c>
    </x:row>
    <x:row r="1600">
      <x:c r="A1600" s="20" t="n">
        <x:v>46195</x:v>
      </x:c>
      <x:c r="B1600" s="21" t="str">
        <x:v>DP-2026-028136</x:v>
      </x:c>
      <x:c r="C1600" s="21" t="str">
        <x:v>ACH PAYMENT - Pena, Clayton and Ward - DP-2026-028136</x:v>
      </x:c>
      <x:c r="D1600" s="21" t="str">
        <x:v>Supplier payment</x:v>
      </x:c>
      <x:c r="E1600" s="18" t="n">
        <x:v>179.11</x:v>
      </x:c>
      <x:c r="F1600" s="18"/>
      <x:c r="G1600" s="18" t="n">
        <x:v>-179.11</x:v>
      </x:c>
      <x:c r="H1600" s="18" t="n">
        <x:f>H1599+G1600</x:f>
        <x:v>10484034.639999997</x:v>
      </x:c>
    </x:row>
    <x:row r="1601">
      <x:c r="A1601" s="20" t="n">
        <x:v>46195</x:v>
      </x:c>
      <x:c r="B1601" s="21" t="str">
        <x:v>DP-2026-028141</x:v>
      </x:c>
      <x:c r="C1601" s="21" t="str">
        <x:v>ACH PAYMENT - Donaldson LLC - DP-2026-028141</x:v>
      </x:c>
      <x:c r="D1601" s="21" t="str">
        <x:v>Supplier payment</x:v>
      </x:c>
      <x:c r="E1601" s="18" t="n">
        <x:v>326.24</x:v>
      </x:c>
      <x:c r="F1601" s="18"/>
      <x:c r="G1601" s="18" t="n">
        <x:v>-326.24</x:v>
      </x:c>
      <x:c r="H1601" s="18" t="n">
        <x:f>H1600+G1601</x:f>
        <x:v>10483708.399999997</x:v>
      </x:c>
    </x:row>
    <x:row r="1602">
      <x:c r="A1602" s="20" t="n">
        <x:v>46195</x:v>
      </x:c>
      <x:c r="B1602" s="21" t="str">
        <x:v>DP-2026-028171</x:v>
      </x:c>
      <x:c r="C1602" s="21" t="str">
        <x:v>ACH PAYMENT - Kelly-Bradshaw - DP-2026-028171</x:v>
      </x:c>
      <x:c r="D1602" s="21" t="str">
        <x:v>Supplier payment</x:v>
      </x:c>
      <x:c r="E1602" s="18" t="n">
        <x:v>2285.69</x:v>
      </x:c>
      <x:c r="F1602" s="18"/>
      <x:c r="G1602" s="18" t="n">
        <x:v>-2285.69</x:v>
      </x:c>
      <x:c r="H1602" s="18" t="n">
        <x:f>H1601+G1602</x:f>
        <x:v>10481422.709999997</x:v>
      </x:c>
    </x:row>
    <x:row r="1603">
      <x:c r="A1603" s="20" t="n">
        <x:v>46195</x:v>
      </x:c>
      <x:c r="B1603" s="21" t="str">
        <x:v>DP-2026-028172</x:v>
      </x:c>
      <x:c r="C1603" s="21" t="str">
        <x:v>ACH PAYMENT - Peters, Terry and Zimmerman - DP-2026-028172</x:v>
      </x:c>
      <x:c r="D1603" s="21" t="str">
        <x:v>Supplier payment</x:v>
      </x:c>
      <x:c r="E1603" s="18" t="n">
        <x:v>1627.86</x:v>
      </x:c>
      <x:c r="F1603" s="18"/>
      <x:c r="G1603" s="18" t="n">
        <x:v>-1627.86</x:v>
      </x:c>
      <x:c r="H1603" s="18" t="n">
        <x:f>H1602+G1603</x:f>
        <x:v>10479794.849999998</x:v>
      </x:c>
    </x:row>
    <x:row r="1604">
      <x:c r="A1604" s="20" t="n">
        <x:v>46195</x:v>
      </x:c>
      <x:c r="B1604" s="21" t="str">
        <x:v>DP-2026-028198</x:v>
      </x:c>
      <x:c r="C1604" s="21" t="str">
        <x:v>ACH PAYMENT - Hester Ltd - DP-2026-028198</x:v>
      </x:c>
      <x:c r="D1604" s="21" t="str">
        <x:v>Supplier payment</x:v>
      </x:c>
      <x:c r="E1604" s="18" t="n">
        <x:v>110.49</x:v>
      </x:c>
      <x:c r="F1604" s="18"/>
      <x:c r="G1604" s="18" t="n">
        <x:v>-110.49</x:v>
      </x:c>
      <x:c r="H1604" s="18" t="n">
        <x:f>H1603+G1604</x:f>
        <x:v>10479684.359999998</x:v>
      </x:c>
    </x:row>
    <x:row r="1605">
      <x:c r="A1605" s="20" t="n">
        <x:v>46195</x:v>
      </x:c>
      <x:c r="B1605" s="21" t="str">
        <x:v>DP-2026-028253</x:v>
      </x:c>
      <x:c r="C1605" s="21" t="str">
        <x:v>ACH PAYMENT - Stokes, Mann and Keller - DP-2026-028253</x:v>
      </x:c>
      <x:c r="D1605" s="21" t="str">
        <x:v>Supplier payment</x:v>
      </x:c>
      <x:c r="E1605" s="18" t="n">
        <x:v>2815.28</x:v>
      </x:c>
      <x:c r="F1605" s="18"/>
      <x:c r="G1605" s="18" t="n">
        <x:v>-2815.28</x:v>
      </x:c>
      <x:c r="H1605" s="18" t="n">
        <x:f>H1604+G1605</x:f>
        <x:v>10476869.079999998</x:v>
      </x:c>
    </x:row>
    <x:row r="1606">
      <x:c r="A1606" s="20" t="n">
        <x:v>46195</x:v>
      </x:c>
      <x:c r="B1606" s="21" t="str">
        <x:v>DP-2026-028260</x:v>
      </x:c>
      <x:c r="C1606" s="21" t="str">
        <x:v>ACH PAYMENT - Garcia Group - DP-2026-028260</x:v>
      </x:c>
      <x:c r="D1606" s="21" t="str">
        <x:v>Supplier payment</x:v>
      </x:c>
      <x:c r="E1606" s="18" t="n">
        <x:v>143.06</x:v>
      </x:c>
      <x:c r="F1606" s="18"/>
      <x:c r="G1606" s="18" t="n">
        <x:v>-143.06</x:v>
      </x:c>
      <x:c r="H1606" s="18" t="n">
        <x:f>H1605+G1606</x:f>
        <x:v>10476726.019999998</x:v>
      </x:c>
    </x:row>
    <x:row r="1607">
      <x:c r="A1607" s="20" t="n">
        <x:v>46195</x:v>
      </x:c>
      <x:c r="B1607" s="21" t="str">
        <x:v>DP-2026-028288</x:v>
      </x:c>
      <x:c r="C1607" s="21" t="str">
        <x:v>ACH PAYMENT - Williams, Baker and Santos - DP-2026-028288</x:v>
      </x:c>
      <x:c r="D1607" s="21" t="str">
        <x:v>Supplier payment</x:v>
      </x:c>
      <x:c r="E1607" s="18" t="n">
        <x:v>349.05</x:v>
      </x:c>
      <x:c r="F1607" s="18"/>
      <x:c r="G1607" s="18" t="n">
        <x:v>-349.05</x:v>
      </x:c>
      <x:c r="H1607" s="18" t="n">
        <x:f>H1606+G1607</x:f>
        <x:v>10476376.969999997</x:v>
      </x:c>
    </x:row>
    <x:row r="1608">
      <x:c r="A1608" s="20" t="n">
        <x:v>46195</x:v>
      </x:c>
      <x:c r="B1608" s="21" t="str">
        <x:v>DP-2026-028291</x:v>
      </x:c>
      <x:c r="C1608" s="21" t="str">
        <x:v>ACH PAYMENT - Smith-Ray - DP-2026-028291</x:v>
      </x:c>
      <x:c r="D1608" s="21" t="str">
        <x:v>Supplier payment</x:v>
      </x:c>
      <x:c r="E1608" s="18" t="n">
        <x:v>1243.4</x:v>
      </x:c>
      <x:c r="F1608" s="18"/>
      <x:c r="G1608" s="18" t="n">
        <x:v>-1243.4</x:v>
      </x:c>
      <x:c r="H1608" s="18" t="n">
        <x:f>H1607+G1608</x:f>
        <x:v>10475133.569999997</x:v>
      </x:c>
    </x:row>
    <x:row r="1609">
      <x:c r="A1609" s="20" t="n">
        <x:v>46195</x:v>
      </x:c>
      <x:c r="B1609" s="21" t="str">
        <x:v>DP-2026-028308</x:v>
      </x:c>
      <x:c r="C1609" s="21" t="str">
        <x:v>ACH PAYMENT - Weeks Group - DP-2026-028308</x:v>
      </x:c>
      <x:c r="D1609" s="21" t="str">
        <x:v>Supplier payment</x:v>
      </x:c>
      <x:c r="E1609" s="18" t="n">
        <x:v>170.23</x:v>
      </x:c>
      <x:c r="F1609" s="18"/>
      <x:c r="G1609" s="18" t="n">
        <x:v>-170.23</x:v>
      </x:c>
      <x:c r="H1609" s="18" t="n">
        <x:f>H1608+G1609</x:f>
        <x:v>10474963.339999996</x:v>
      </x:c>
    </x:row>
    <x:row r="1610">
      <x:c r="A1610" s="20" t="n">
        <x:v>46195</x:v>
      </x:c>
      <x:c r="B1610" s="21" t="str">
        <x:v>DP-2026-028341</x:v>
      </x:c>
      <x:c r="C1610" s="21" t="str">
        <x:v>ACH PAYMENT - Pena, Clayton and Ward - DP-2026-028341</x:v>
      </x:c>
      <x:c r="D1610" s="21" t="str">
        <x:v>Supplier payment</x:v>
      </x:c>
      <x:c r="E1610" s="18" t="n">
        <x:v>2632.14</x:v>
      </x:c>
      <x:c r="F1610" s="18"/>
      <x:c r="G1610" s="18" t="n">
        <x:v>-2632.14</x:v>
      </x:c>
      <x:c r="H1610" s="18" t="n">
        <x:f>H1609+G1610</x:f>
        <x:v>10472331.199999996</x:v>
      </x:c>
    </x:row>
    <x:row r="1611">
      <x:c r="A1611" s="20" t="n">
        <x:v>46195</x:v>
      </x:c>
      <x:c r="B1611" s="21" t="str">
        <x:v>DP-2026-028349</x:v>
      </x:c>
      <x:c r="C1611" s="21" t="str">
        <x:v>WIRE TRANSFER PAYMENT - Patterson-Smith - DP-2026-028349</x:v>
      </x:c>
      <x:c r="D1611" s="21" t="str">
        <x:v>Supplier payment</x:v>
      </x:c>
      <x:c r="E1611" s="18" t="n">
        <x:v>518.43</x:v>
      </x:c>
      <x:c r="F1611" s="18"/>
      <x:c r="G1611" s="18" t="n">
        <x:v>-518.43</x:v>
      </x:c>
      <x:c r="H1611" s="18" t="n">
        <x:f>H1610+G1611</x:f>
        <x:v>10471812.769999996</x:v>
      </x:c>
    </x:row>
    <x:row r="1612">
      <x:c r="A1612" s="20" t="n">
        <x:v>46195</x:v>
      </x:c>
      <x:c r="B1612" s="21" t="str">
        <x:v>DP-2026-028395</x:v>
      </x:c>
      <x:c r="C1612" s="21" t="str">
        <x:v>WIRE TRANSFER PAYMENT - Powell Inc - DP-2026-028395</x:v>
      </x:c>
      <x:c r="D1612" s="21" t="str">
        <x:v>Supplier payment</x:v>
      </x:c>
      <x:c r="E1612" s="18" t="n">
        <x:v>996.42</x:v>
      </x:c>
      <x:c r="F1612" s="18"/>
      <x:c r="G1612" s="18" t="n">
        <x:v>-996.42</x:v>
      </x:c>
      <x:c r="H1612" s="18" t="n">
        <x:f>H1611+G1612</x:f>
        <x:v>10470816.349999996</x:v>
      </x:c>
    </x:row>
    <x:row r="1613">
      <x:c r="A1613" s="20" t="n">
        <x:v>46195</x:v>
      </x:c>
      <x:c r="B1613" s="21" t="str">
        <x:v>DP-2026-028466</x:v>
      </x:c>
      <x:c r="C1613" s="21" t="str">
        <x:v>ACH PAYMENT - Velasquez-Baxter - DP-2026-028466</x:v>
      </x:c>
      <x:c r="D1613" s="21" t="str">
        <x:v>Supplier payment</x:v>
      </x:c>
      <x:c r="E1613" s="18" t="n">
        <x:v>11981.97</x:v>
      </x:c>
      <x:c r="F1613" s="18"/>
      <x:c r="G1613" s="18" t="n">
        <x:v>-11981.97</x:v>
      </x:c>
      <x:c r="H1613" s="18" t="n">
        <x:f>H1612+G1613</x:f>
        <x:v>10458834.379999995</x:v>
      </x:c>
    </x:row>
    <x:row r="1614">
      <x:c r="A1614" s="20" t="n">
        <x:v>46195</x:v>
      </x:c>
      <x:c r="B1614" s="21" t="str">
        <x:v>DP-2026-028480</x:v>
      </x:c>
      <x:c r="C1614" s="21" t="str">
        <x:v>ACH PAYMENT - Brooks, Johnson and Olson - DP-2026-028480</x:v>
      </x:c>
      <x:c r="D1614" s="21" t="str">
        <x:v>Supplier payment</x:v>
      </x:c>
      <x:c r="E1614" s="18" t="n">
        <x:v>767.43</x:v>
      </x:c>
      <x:c r="F1614" s="18"/>
      <x:c r="G1614" s="18" t="n">
        <x:v>-767.43</x:v>
      </x:c>
      <x:c r="H1614" s="18" t="n">
        <x:f>H1613+G1614</x:f>
        <x:v>10458066.949999996</x:v>
      </x:c>
    </x:row>
    <x:row r="1615">
      <x:c r="A1615" s="20" t="n">
        <x:v>46195</x:v>
      </x:c>
      <x:c r="B1615" s="21" t="str">
        <x:v>PRPAY-2026-006701</x:v>
      </x:c>
      <x:c r="C1615" s="21" t="str">
        <x:v>PAYROLL DIRECT DEPOSIT - PRPAY-2026-006701</x:v>
      </x:c>
      <x:c r="D1615" s="21" t="str">
        <x:v>Payroll</x:v>
      </x:c>
      <x:c r="E1615" s="18" t="n">
        <x:v>7971.1</x:v>
      </x:c>
      <x:c r="F1615" s="18"/>
      <x:c r="G1615" s="18" t="n">
        <x:v>-7971.1</x:v>
      </x:c>
      <x:c r="H1615" s="18" t="n">
        <x:f>H1614+G1615</x:f>
        <x:v>10450095.849999996</x:v>
      </x:c>
    </x:row>
    <x:row r="1616">
      <x:c r="A1616" s="20" t="n">
        <x:v>46195</x:v>
      </x:c>
      <x:c r="B1616" s="21" t="str">
        <x:v>PRPAY-2026-006702</x:v>
      </x:c>
      <x:c r="C1616" s="21" t="str">
        <x:v>PAYROLL DIRECT DEPOSIT - PRPAY-2026-006702</x:v>
      </x:c>
      <x:c r="D1616" s="21" t="str">
        <x:v>Payroll</x:v>
      </x:c>
      <x:c r="E1616" s="18" t="n">
        <x:v>7699.73</x:v>
      </x:c>
      <x:c r="F1616" s="18"/>
      <x:c r="G1616" s="18" t="n">
        <x:v>-7699.73</x:v>
      </x:c>
      <x:c r="H1616" s="18" t="n">
        <x:f>H1615+G1616</x:f>
        <x:v>10442396.119999995</x:v>
      </x:c>
    </x:row>
    <x:row r="1617">
      <x:c r="A1617" s="20" t="n">
        <x:v>46195</x:v>
      </x:c>
      <x:c r="B1617" s="21" t="str">
        <x:v>PRPAY-2026-006703</x:v>
      </x:c>
      <x:c r="C1617" s="21" t="str">
        <x:v>PAYROLL DIRECT DEPOSIT - PRPAY-2026-006703</x:v>
      </x:c>
      <x:c r="D1617" s="21" t="str">
        <x:v>Payroll</x:v>
      </x:c>
      <x:c r="E1617" s="18" t="n">
        <x:v>7818.47</x:v>
      </x:c>
      <x:c r="F1617" s="18"/>
      <x:c r="G1617" s="18" t="n">
        <x:v>-7818.47</x:v>
      </x:c>
      <x:c r="H1617" s="18" t="n">
        <x:f>H1616+G1617</x:f>
        <x:v>10434577.649999995</x:v>
      </x:c>
    </x:row>
    <x:row r="1618">
      <x:c r="A1618" s="20" t="n">
        <x:v>46195</x:v>
      </x:c>
      <x:c r="B1618" s="21" t="str">
        <x:v>PRPAY-2026-006704</x:v>
      </x:c>
      <x:c r="C1618" s="21" t="str">
        <x:v>PAYROLL DIRECT DEPOSIT - PRPAY-2026-006704</x:v>
      </x:c>
      <x:c r="D1618" s="21" t="str">
        <x:v>Payroll</x:v>
      </x:c>
      <x:c r="E1618" s="18" t="n">
        <x:v>3641.72</x:v>
      </x:c>
      <x:c r="F1618" s="18"/>
      <x:c r="G1618" s="18" t="n">
        <x:v>-3641.72</x:v>
      </x:c>
      <x:c r="H1618" s="18" t="n">
        <x:f>H1617+G1618</x:f>
        <x:v>10430935.929999994</x:v>
      </x:c>
    </x:row>
    <x:row r="1619">
      <x:c r="A1619" s="20" t="n">
        <x:v>46195</x:v>
      </x:c>
      <x:c r="B1619" s="21" t="str">
        <x:v>PRPAY-2026-006705</x:v>
      </x:c>
      <x:c r="C1619" s="21" t="str">
        <x:v>PAYROLL DIRECT DEPOSIT - PRPAY-2026-006705</x:v>
      </x:c>
      <x:c r="D1619" s="21" t="str">
        <x:v>Payroll</x:v>
      </x:c>
      <x:c r="E1619" s="18" t="n">
        <x:v>3670.73</x:v>
      </x:c>
      <x:c r="F1619" s="18"/>
      <x:c r="G1619" s="18" t="n">
        <x:v>-3670.73</x:v>
      </x:c>
      <x:c r="H1619" s="18" t="n">
        <x:f>H1618+G1619</x:f>
        <x:v>10427265.199999994</x:v>
      </x:c>
    </x:row>
    <x:row r="1620">
      <x:c r="A1620" s="20" t="n">
        <x:v>46195</x:v>
      </x:c>
      <x:c r="B1620" s="21" t="str">
        <x:v>PRPAY-2026-006706</x:v>
      </x:c>
      <x:c r="C1620" s="21" t="str">
        <x:v>PAYROLL DIRECT DEPOSIT - PRPAY-2026-006706</x:v>
      </x:c>
      <x:c r="D1620" s="21" t="str">
        <x:v>Payroll</x:v>
      </x:c>
      <x:c r="E1620" s="18" t="n">
        <x:v>3774.51</x:v>
      </x:c>
      <x:c r="F1620" s="18"/>
      <x:c r="G1620" s="18" t="n">
        <x:v>-3774.51</x:v>
      </x:c>
      <x:c r="H1620" s="18" t="n">
        <x:f>H1619+G1620</x:f>
        <x:v>10423490.689999994</x:v>
      </x:c>
    </x:row>
    <x:row r="1621">
      <x:c r="A1621" s="20" t="n">
        <x:v>46195</x:v>
      </x:c>
      <x:c r="B1621" s="21" t="str">
        <x:v>PRPAY-2026-006707</x:v>
      </x:c>
      <x:c r="C1621" s="21" t="str">
        <x:v>PAYROLL DIRECT DEPOSIT - PRPAY-2026-006707</x:v>
      </x:c>
      <x:c r="D1621" s="21" t="str">
        <x:v>Payroll</x:v>
      </x:c>
      <x:c r="E1621" s="18" t="n">
        <x:v>3195.09</x:v>
      </x:c>
      <x:c r="F1621" s="18"/>
      <x:c r="G1621" s="18" t="n">
        <x:v>-3195.09</x:v>
      </x:c>
      <x:c r="H1621" s="18" t="n">
        <x:f>H1620+G1621</x:f>
        <x:v>10420295.599999994</x:v>
      </x:c>
    </x:row>
    <x:row r="1622">
      <x:c r="A1622" s="20" t="n">
        <x:v>46195</x:v>
      </x:c>
      <x:c r="B1622" s="21" t="str">
        <x:v>PRPAY-2026-006708</x:v>
      </x:c>
      <x:c r="C1622" s="21" t="str">
        <x:v>PAYROLL DIRECT DEPOSIT - PRPAY-2026-006708</x:v>
      </x:c>
      <x:c r="D1622" s="21" t="str">
        <x:v>Payroll</x:v>
      </x:c>
      <x:c r="E1622" s="18" t="n">
        <x:v>2483.69</x:v>
      </x:c>
      <x:c r="F1622" s="18"/>
      <x:c r="G1622" s="18" t="n">
        <x:v>-2483.69</x:v>
      </x:c>
      <x:c r="H1622" s="18" t="n">
        <x:f>H1621+G1622</x:f>
        <x:v>10417811.909999995</x:v>
      </x:c>
    </x:row>
    <x:row r="1623">
      <x:c r="A1623" s="20" t="n">
        <x:v>46195</x:v>
      </x:c>
      <x:c r="B1623" s="21" t="str">
        <x:v>PRPAY-2026-006709</x:v>
      </x:c>
      <x:c r="C1623" s="21" t="str">
        <x:v>PAYROLL DIRECT DEPOSIT - PRPAY-2026-006709</x:v>
      </x:c>
      <x:c r="D1623" s="21" t="str">
        <x:v>Payroll</x:v>
      </x:c>
      <x:c r="E1623" s="18" t="n">
        <x:v>2324.61</x:v>
      </x:c>
      <x:c r="F1623" s="18"/>
      <x:c r="G1623" s="18" t="n">
        <x:v>-2324.61</x:v>
      </x:c>
      <x:c r="H1623" s="18" t="n">
        <x:f>H1622+G1623</x:f>
        <x:v>10415487.299999995</x:v>
      </x:c>
    </x:row>
    <x:row r="1624">
      <x:c r="A1624" s="20" t="n">
        <x:v>46195</x:v>
      </x:c>
      <x:c r="B1624" s="21" t="str">
        <x:v>PRPAY-2026-006710</x:v>
      </x:c>
      <x:c r="C1624" s="21" t="str">
        <x:v>PAYROLL DIRECT DEPOSIT - PRPAY-2026-006710</x:v>
      </x:c>
      <x:c r="D1624" s="21" t="str">
        <x:v>Payroll</x:v>
      </x:c>
      <x:c r="E1624" s="18" t="n">
        <x:v>3564.12</x:v>
      </x:c>
      <x:c r="F1624" s="18"/>
      <x:c r="G1624" s="18" t="n">
        <x:v>-3564.12</x:v>
      </x:c>
      <x:c r="H1624" s="18" t="n">
        <x:f>H1623+G1624</x:f>
        <x:v>10411923.179999996</x:v>
      </x:c>
    </x:row>
    <x:row r="1625">
      <x:c r="A1625" s="20" t="n">
        <x:v>46195</x:v>
      </x:c>
      <x:c r="B1625" s="21" t="str">
        <x:v>PRPAY-2026-006711</x:v>
      </x:c>
      <x:c r="C1625" s="21" t="str">
        <x:v>PAYROLL DIRECT DEPOSIT - PRPAY-2026-006711</x:v>
      </x:c>
      <x:c r="D1625" s="21" t="str">
        <x:v>Payroll</x:v>
      </x:c>
      <x:c r="E1625" s="18" t="n">
        <x:v>3237.5</x:v>
      </x:c>
      <x:c r="F1625" s="18"/>
      <x:c r="G1625" s="18" t="n">
        <x:v>-3237.5</x:v>
      </x:c>
      <x:c r="H1625" s="18" t="n">
        <x:f>H1624+G1625</x:f>
        <x:v>10408685.679999996</x:v>
      </x:c>
    </x:row>
    <x:row r="1626">
      <x:c r="A1626" s="20" t="n">
        <x:v>46195</x:v>
      </x:c>
      <x:c r="B1626" s="21" t="str">
        <x:v>PRPAY-2026-006712</x:v>
      </x:c>
      <x:c r="C1626" s="21" t="str">
        <x:v>PAYROLL DIRECT DEPOSIT - PRPAY-2026-006712</x:v>
      </x:c>
      <x:c r="D1626" s="21" t="str">
        <x:v>Payroll</x:v>
      </x:c>
      <x:c r="E1626" s="18" t="n">
        <x:v>4075.77</x:v>
      </x:c>
      <x:c r="F1626" s="18"/>
      <x:c r="G1626" s="18" t="n">
        <x:v>-4075.77</x:v>
      </x:c>
      <x:c r="H1626" s="18" t="n">
        <x:f>H1625+G1626</x:f>
        <x:v>10404609.909999996</x:v>
      </x:c>
    </x:row>
    <x:row r="1627">
      <x:c r="A1627" s="20" t="n">
        <x:v>46195</x:v>
      </x:c>
      <x:c r="B1627" s="21" t="str">
        <x:v>PRPAY-2026-006713</x:v>
      </x:c>
      <x:c r="C1627" s="21" t="str">
        <x:v>PAYROLL DIRECT DEPOSIT - PRPAY-2026-006713</x:v>
      </x:c>
      <x:c r="D1627" s="21" t="str">
        <x:v>Payroll</x:v>
      </x:c>
      <x:c r="E1627" s="18" t="n">
        <x:v>1980.94</x:v>
      </x:c>
      <x:c r="F1627" s="18"/>
      <x:c r="G1627" s="18" t="n">
        <x:v>-1980.94</x:v>
      </x:c>
      <x:c r="H1627" s="18" t="n">
        <x:f>H1626+G1627</x:f>
        <x:v>10402628.969999997</x:v>
      </x:c>
    </x:row>
    <x:row r="1628">
      <x:c r="A1628" s="20" t="n">
        <x:v>46195</x:v>
      </x:c>
      <x:c r="B1628" s="21" t="str">
        <x:v>PRPAY-2026-006714</x:v>
      </x:c>
      <x:c r="C1628" s="21" t="str">
        <x:v>PAYROLL DIRECT DEPOSIT - PRPAY-2026-006714</x:v>
      </x:c>
      <x:c r="D1628" s="21" t="str">
        <x:v>Payroll</x:v>
      </x:c>
      <x:c r="E1628" s="18" t="n">
        <x:v>3973.36</x:v>
      </x:c>
      <x:c r="F1628" s="18"/>
      <x:c r="G1628" s="18" t="n">
        <x:v>-3973.36</x:v>
      </x:c>
      <x:c r="H1628" s="18" t="n">
        <x:f>H1627+G1628</x:f>
        <x:v>10398655.609999998</x:v>
      </x:c>
    </x:row>
    <x:row r="1629">
      <x:c r="A1629" s="20" t="n">
        <x:v>46195</x:v>
      </x:c>
      <x:c r="B1629" s="21" t="str">
        <x:v>PRPAY-2026-006715</x:v>
      </x:c>
      <x:c r="C1629" s="21" t="str">
        <x:v>PAYROLL DIRECT DEPOSIT - PRPAY-2026-006715</x:v>
      </x:c>
      <x:c r="D1629" s="21" t="str">
        <x:v>Payroll</x:v>
      </x:c>
      <x:c r="E1629" s="18" t="n">
        <x:v>1853.92</x:v>
      </x:c>
      <x:c r="F1629" s="18"/>
      <x:c r="G1629" s="18" t="n">
        <x:v>-1853.92</x:v>
      </x:c>
      <x:c r="H1629" s="18" t="n">
        <x:f>H1628+G1629</x:f>
        <x:v>10396801.689999998</x:v>
      </x:c>
    </x:row>
    <x:row r="1630">
      <x:c r="A1630" s="20" t="n">
        <x:v>46195</x:v>
      </x:c>
      <x:c r="B1630" s="21" t="str">
        <x:v>PRPAY-2026-006716</x:v>
      </x:c>
      <x:c r="C1630" s="21" t="str">
        <x:v>PAYROLL DIRECT DEPOSIT - PRPAY-2026-006716</x:v>
      </x:c>
      <x:c r="D1630" s="21" t="str">
        <x:v>Payroll</x:v>
      </x:c>
      <x:c r="E1630" s="18" t="n">
        <x:v>1863.28</x:v>
      </x:c>
      <x:c r="F1630" s="18"/>
      <x:c r="G1630" s="18" t="n">
        <x:v>-1863.28</x:v>
      </x:c>
      <x:c r="H1630" s="18" t="n">
        <x:f>H1629+G1630</x:f>
        <x:v>10394938.409999998</x:v>
      </x:c>
    </x:row>
    <x:row r="1631">
      <x:c r="A1631" s="20" t="n">
        <x:v>46195</x:v>
      </x:c>
      <x:c r="B1631" s="21" t="str">
        <x:v>PRPAY-2026-006717</x:v>
      </x:c>
      <x:c r="C1631" s="21" t="str">
        <x:v>PAYROLL DIRECT DEPOSIT - PRPAY-2026-006717</x:v>
      </x:c>
      <x:c r="D1631" s="21" t="str">
        <x:v>Payroll</x:v>
      </x:c>
      <x:c r="E1631" s="18" t="n">
        <x:v>2166.31</x:v>
      </x:c>
      <x:c r="F1631" s="18"/>
      <x:c r="G1631" s="18" t="n">
        <x:v>-2166.31</x:v>
      </x:c>
      <x:c r="H1631" s="18" t="n">
        <x:f>H1630+G1631</x:f>
        <x:v>10392772.099999998</x:v>
      </x:c>
    </x:row>
    <x:row r="1632">
      <x:c r="A1632" s="20" t="n">
        <x:v>46195</x:v>
      </x:c>
      <x:c r="B1632" s="21" t="str">
        <x:v>PRPAY-2026-006718</x:v>
      </x:c>
      <x:c r="C1632" s="21" t="str">
        <x:v>PAYROLL DIRECT DEPOSIT - PRPAY-2026-006718</x:v>
      </x:c>
      <x:c r="D1632" s="21" t="str">
        <x:v>Payroll</x:v>
      </x:c>
      <x:c r="E1632" s="18" t="n">
        <x:v>1719.81</x:v>
      </x:c>
      <x:c r="F1632" s="18"/>
      <x:c r="G1632" s="18" t="n">
        <x:v>-1719.81</x:v>
      </x:c>
      <x:c r="H1632" s="18" t="n">
        <x:f>H1631+G1632</x:f>
        <x:v>10391052.289999997</x:v>
      </x:c>
    </x:row>
    <x:row r="1633">
      <x:c r="A1633" s="20" t="n">
        <x:v>46195</x:v>
      </x:c>
      <x:c r="B1633" s="21" t="str">
        <x:v>PRPAY-2026-006719</x:v>
      </x:c>
      <x:c r="C1633" s="21" t="str">
        <x:v>PAYROLL DIRECT DEPOSIT - PRPAY-2026-006719</x:v>
      </x:c>
      <x:c r="D1633" s="21" t="str">
        <x:v>Payroll</x:v>
      </x:c>
      <x:c r="E1633" s="18" t="n">
        <x:v>1571.77</x:v>
      </x:c>
      <x:c r="F1633" s="18"/>
      <x:c r="G1633" s="18" t="n">
        <x:v>-1571.77</x:v>
      </x:c>
      <x:c r="H1633" s="18" t="n">
        <x:f>H1632+G1633</x:f>
        <x:v>10389480.519999998</x:v>
      </x:c>
    </x:row>
    <x:row r="1634">
      <x:c r="A1634" s="20" t="n">
        <x:v>46195</x:v>
      </x:c>
      <x:c r="B1634" s="21" t="str">
        <x:v>PRPAY-2026-006720</x:v>
      </x:c>
      <x:c r="C1634" s="21" t="str">
        <x:v>PAYROLL DIRECT DEPOSIT - PRPAY-2026-006720</x:v>
      </x:c>
      <x:c r="D1634" s="21" t="str">
        <x:v>Payroll</x:v>
      </x:c>
      <x:c r="E1634" s="18" t="n">
        <x:v>1869.52</x:v>
      </x:c>
      <x:c r="F1634" s="18"/>
      <x:c r="G1634" s="18" t="n">
        <x:v>-1869.52</x:v>
      </x:c>
      <x:c r="H1634" s="18" t="n">
        <x:f>H1633+G1634</x:f>
        <x:v>10387610.999999998</x:v>
      </x:c>
    </x:row>
    <x:row r="1635">
      <x:c r="A1635" s="20" t="n">
        <x:v>46195</x:v>
      </x:c>
      <x:c r="B1635" s="21" t="str">
        <x:v>PRPAY-2026-006721</x:v>
      </x:c>
      <x:c r="C1635" s="21" t="str">
        <x:v>PAYROLL DIRECT DEPOSIT - PRPAY-2026-006721</x:v>
      </x:c>
      <x:c r="D1635" s="21" t="str">
        <x:v>Payroll</x:v>
      </x:c>
      <x:c r="E1635" s="18" t="n">
        <x:v>1424.51</x:v>
      </x:c>
      <x:c r="F1635" s="18"/>
      <x:c r="G1635" s="18" t="n">
        <x:v>-1424.51</x:v>
      </x:c>
      <x:c r="H1635" s="18" t="n">
        <x:f>H1634+G1635</x:f>
        <x:v>10386186.489999998</x:v>
      </x:c>
    </x:row>
    <x:row r="1636">
      <x:c r="A1636" s="20" t="n">
        <x:v>46195</x:v>
      </x:c>
      <x:c r="B1636" s="21" t="str">
        <x:v>PRPAY-2026-006722</x:v>
      </x:c>
      <x:c r="C1636" s="21" t="str">
        <x:v>PAYROLL DIRECT DEPOSIT - PRPAY-2026-006722</x:v>
      </x:c>
      <x:c r="D1636" s="21" t="str">
        <x:v>Payroll</x:v>
      </x:c>
      <x:c r="E1636" s="18" t="n">
        <x:v>1781.45</x:v>
      </x:c>
      <x:c r="F1636" s="18"/>
      <x:c r="G1636" s="18" t="n">
        <x:v>-1781.45</x:v>
      </x:c>
      <x:c r="H1636" s="18" t="n">
        <x:f>H1635+G1636</x:f>
        <x:v>10384405.04</x:v>
      </x:c>
    </x:row>
    <x:row r="1637">
      <x:c r="A1637" s="20" t="n">
        <x:v>46195</x:v>
      </x:c>
      <x:c r="B1637" s="21" t="str">
        <x:v>PRPAY-2026-006723</x:v>
      </x:c>
      <x:c r="C1637" s="21" t="str">
        <x:v>PAYROLL DIRECT DEPOSIT - PRPAY-2026-006723</x:v>
      </x:c>
      <x:c r="D1637" s="21" t="str">
        <x:v>Payroll</x:v>
      </x:c>
      <x:c r="E1637" s="18" t="n">
        <x:v>1830.48</x:v>
      </x:c>
      <x:c r="F1637" s="18"/>
      <x:c r="G1637" s="18" t="n">
        <x:v>-1830.48</x:v>
      </x:c>
      <x:c r="H1637" s="18" t="n">
        <x:f>H1636+G1637</x:f>
        <x:v>10382574.559999999</x:v>
      </x:c>
    </x:row>
    <x:row r="1638">
      <x:c r="A1638" s="20" t="n">
        <x:v>46195</x:v>
      </x:c>
      <x:c r="B1638" s="21" t="str">
        <x:v>PRPAY-2026-006724</x:v>
      </x:c>
      <x:c r="C1638" s="21" t="str">
        <x:v>PAYROLL DIRECT DEPOSIT - PRPAY-2026-006724</x:v>
      </x:c>
      <x:c r="D1638" s="21" t="str">
        <x:v>Payroll</x:v>
      </x:c>
      <x:c r="E1638" s="18" t="n">
        <x:v>2006.93</x:v>
      </x:c>
      <x:c r="F1638" s="18"/>
      <x:c r="G1638" s="18" t="n">
        <x:v>-2006.93</x:v>
      </x:c>
      <x:c r="H1638" s="18" t="n">
        <x:f>H1637+G1638</x:f>
        <x:v>10380567.629999999</x:v>
      </x:c>
    </x:row>
    <x:row r="1639">
      <x:c r="A1639" s="20" t="n">
        <x:v>46195</x:v>
      </x:c>
      <x:c r="B1639" s="21" t="str">
        <x:v>PRPAY-2026-006725</x:v>
      </x:c>
      <x:c r="C1639" s="21" t="str">
        <x:v>PAYROLL DIRECT DEPOSIT - PRPAY-2026-006725</x:v>
      </x:c>
      <x:c r="D1639" s="21" t="str">
        <x:v>Payroll</x:v>
      </x:c>
      <x:c r="E1639" s="18" t="n">
        <x:v>1763.58</x:v>
      </x:c>
      <x:c r="F1639" s="18"/>
      <x:c r="G1639" s="18" t="n">
        <x:v>-1763.58</x:v>
      </x:c>
      <x:c r="H1639" s="18" t="n">
        <x:f>H1638+G1639</x:f>
        <x:v>10378804.049999999</x:v>
      </x:c>
    </x:row>
    <x:row r="1640">
      <x:c r="A1640" s="20" t="n">
        <x:v>46195</x:v>
      </x:c>
      <x:c r="B1640" s="21" t="str">
        <x:v>PRPAY-2026-006726</x:v>
      </x:c>
      <x:c r="C1640" s="21" t="str">
        <x:v>PAYROLL DIRECT DEPOSIT - PRPAY-2026-006726</x:v>
      </x:c>
      <x:c r="D1640" s="21" t="str">
        <x:v>Payroll</x:v>
      </x:c>
      <x:c r="E1640" s="18" t="n">
        <x:v>2088.44</x:v>
      </x:c>
      <x:c r="F1640" s="18"/>
      <x:c r="G1640" s="18" t="n">
        <x:v>-2088.44</x:v>
      </x:c>
      <x:c r="H1640" s="18" t="n">
        <x:f>H1639+G1640</x:f>
        <x:v>10376715.61</x:v>
      </x:c>
    </x:row>
    <x:row r="1641">
      <x:c r="A1641" s="20" t="n">
        <x:v>46195</x:v>
      </x:c>
      <x:c r="B1641" s="21" t="str">
        <x:v>PRPAY-2026-006727</x:v>
      </x:c>
      <x:c r="C1641" s="21" t="str">
        <x:v>PAYROLL DIRECT DEPOSIT - PRPAY-2026-006727</x:v>
      </x:c>
      <x:c r="D1641" s="21" t="str">
        <x:v>Payroll</x:v>
      </x:c>
      <x:c r="E1641" s="18" t="n">
        <x:v>1916.5</x:v>
      </x:c>
      <x:c r="F1641" s="18"/>
      <x:c r="G1641" s="18" t="n">
        <x:v>-1916.5</x:v>
      </x:c>
      <x:c r="H1641" s="18" t="n">
        <x:f>H1640+G1641</x:f>
        <x:v>10374799.11</x:v>
      </x:c>
    </x:row>
    <x:row r="1642">
      <x:c r="A1642" s="20" t="n">
        <x:v>46195</x:v>
      </x:c>
      <x:c r="B1642" s="21" t="str">
        <x:v>PRPAY-2026-006728</x:v>
      </x:c>
      <x:c r="C1642" s="21" t="str">
        <x:v>PAYROLL DIRECT DEPOSIT - PRPAY-2026-006728</x:v>
      </x:c>
      <x:c r="D1642" s="21" t="str">
        <x:v>Payroll</x:v>
      </x:c>
      <x:c r="E1642" s="18" t="n">
        <x:v>1688.26</x:v>
      </x:c>
      <x:c r="F1642" s="18"/>
      <x:c r="G1642" s="18" t="n">
        <x:v>-1688.26</x:v>
      </x:c>
      <x:c r="H1642" s="18" t="n">
        <x:f>H1641+G1642</x:f>
        <x:v>10373110.85</x:v>
      </x:c>
    </x:row>
    <x:row r="1643">
      <x:c r="A1643" s="20" t="n">
        <x:v>46195</x:v>
      </x:c>
      <x:c r="B1643" s="21" t="str">
        <x:v>PRPAY-2026-006729</x:v>
      </x:c>
      <x:c r="C1643" s="21" t="str">
        <x:v>PAYROLL DIRECT DEPOSIT - PRPAY-2026-006729</x:v>
      </x:c>
      <x:c r="D1643" s="21" t="str">
        <x:v>Payroll</x:v>
      </x:c>
      <x:c r="E1643" s="18" t="n">
        <x:v>1649.41</x:v>
      </x:c>
      <x:c r="F1643" s="18"/>
      <x:c r="G1643" s="18" t="n">
        <x:v>-1649.41</x:v>
      </x:c>
      <x:c r="H1643" s="18" t="n">
        <x:f>H1642+G1643</x:f>
        <x:v>10371461.44</x:v>
      </x:c>
    </x:row>
    <x:row r="1644">
      <x:c r="A1644" s="20" t="n">
        <x:v>46195</x:v>
      </x:c>
      <x:c r="B1644" s="21" t="str">
        <x:v>PRPAY-2026-006730</x:v>
      </x:c>
      <x:c r="C1644" s="21" t="str">
        <x:v>PAYROLL DIRECT DEPOSIT - PRPAY-2026-006730</x:v>
      </x:c>
      <x:c r="D1644" s="21" t="str">
        <x:v>Payroll</x:v>
      </x:c>
      <x:c r="E1644" s="18" t="n">
        <x:v>1736.32</x:v>
      </x:c>
      <x:c r="F1644" s="18"/>
      <x:c r="G1644" s="18" t="n">
        <x:v>-1736.32</x:v>
      </x:c>
      <x:c r="H1644" s="18" t="n">
        <x:f>H1643+G1644</x:f>
        <x:v>10369725.12</x:v>
      </x:c>
    </x:row>
    <x:row r="1645">
      <x:c r="A1645" s="20" t="n">
        <x:v>46195</x:v>
      </x:c>
      <x:c r="B1645" s="21" t="str">
        <x:v>PRPAY-2026-006731</x:v>
      </x:c>
      <x:c r="C1645" s="21" t="str">
        <x:v>PAYROLL DIRECT DEPOSIT - PRPAY-2026-006731</x:v>
      </x:c>
      <x:c r="D1645" s="21" t="str">
        <x:v>Payroll</x:v>
      </x:c>
      <x:c r="E1645" s="18" t="n">
        <x:v>1813.47</x:v>
      </x:c>
      <x:c r="F1645" s="18"/>
      <x:c r="G1645" s="18" t="n">
        <x:v>-1813.47</x:v>
      </x:c>
      <x:c r="H1645" s="18" t="n">
        <x:f>H1644+G1645</x:f>
        <x:v>10367911.649999999</x:v>
      </x:c>
    </x:row>
    <x:row r="1646">
      <x:c r="A1646" s="20" t="n">
        <x:v>46195</x:v>
      </x:c>
      <x:c r="B1646" s="21" t="str">
        <x:v>PRPAY-2026-006732</x:v>
      </x:c>
      <x:c r="C1646" s="21" t="str">
        <x:v>PAYROLL DIRECT DEPOSIT - PRPAY-2026-006732</x:v>
      </x:c>
      <x:c r="D1646" s="21" t="str">
        <x:v>Payroll</x:v>
      </x:c>
      <x:c r="E1646" s="18" t="n">
        <x:v>1871.33</x:v>
      </x:c>
      <x:c r="F1646" s="18"/>
      <x:c r="G1646" s="18" t="n">
        <x:v>-1871.33</x:v>
      </x:c>
      <x:c r="H1646" s="18" t="n">
        <x:f>H1645+G1646</x:f>
        <x:v>10366040.319999998</x:v>
      </x:c>
    </x:row>
    <x:row r="1647">
      <x:c r="A1647" s="20" t="n">
        <x:v>46195</x:v>
      </x:c>
      <x:c r="B1647" s="21" t="str">
        <x:v>PRPAY-2026-006733</x:v>
      </x:c>
      <x:c r="C1647" s="21" t="str">
        <x:v>PAYROLL DIRECT DEPOSIT - PRPAY-2026-006733</x:v>
      </x:c>
      <x:c r="D1647" s="21" t="str">
        <x:v>Payroll</x:v>
      </x:c>
      <x:c r="E1647" s="18" t="n">
        <x:v>1969.63</x:v>
      </x:c>
      <x:c r="F1647" s="18"/>
      <x:c r="G1647" s="18" t="n">
        <x:v>-1969.63</x:v>
      </x:c>
      <x:c r="H1647" s="18" t="n">
        <x:f>H1646+G1647</x:f>
        <x:v>10364070.689999998</x:v>
      </x:c>
    </x:row>
    <x:row r="1648">
      <x:c r="A1648" s="20" t="n">
        <x:v>46195</x:v>
      </x:c>
      <x:c r="B1648" s="21" t="str">
        <x:v>PRPAY-2026-006734</x:v>
      </x:c>
      <x:c r="C1648" s="21" t="str">
        <x:v>PAYROLL DIRECT DEPOSIT - PRPAY-2026-006734</x:v>
      </x:c>
      <x:c r="D1648" s="21" t="str">
        <x:v>Payroll</x:v>
      </x:c>
      <x:c r="E1648" s="18" t="n">
        <x:v>1786.01</x:v>
      </x:c>
      <x:c r="F1648" s="18"/>
      <x:c r="G1648" s="18" t="n">
        <x:v>-1786.01</x:v>
      </x:c>
      <x:c r="H1648" s="18" t="n">
        <x:f>H1647+G1648</x:f>
        <x:v>10362284.679999998</x:v>
      </x:c>
    </x:row>
    <x:row r="1649">
      <x:c r="A1649" s="20" t="n">
        <x:v>46195</x:v>
      </x:c>
      <x:c r="B1649" s="21" t="str">
        <x:v>PRPAY-2026-006735</x:v>
      </x:c>
      <x:c r="C1649" s="21" t="str">
        <x:v>PAYROLL DIRECT DEPOSIT - PRPAY-2026-006735</x:v>
      </x:c>
      <x:c r="D1649" s="21" t="str">
        <x:v>Payroll</x:v>
      </x:c>
      <x:c r="E1649" s="18" t="n">
        <x:v>1851.82</x:v>
      </x:c>
      <x:c r="F1649" s="18"/>
      <x:c r="G1649" s="18" t="n">
        <x:v>-1851.82</x:v>
      </x:c>
      <x:c r="H1649" s="18" t="n">
        <x:f>H1648+G1649</x:f>
        <x:v>10360432.859999998</x:v>
      </x:c>
    </x:row>
    <x:row r="1650">
      <x:c r="A1650" s="20" t="n">
        <x:v>46195</x:v>
      </x:c>
      <x:c r="B1650" s="21" t="str">
        <x:v>PRPAY-2026-006736</x:v>
      </x:c>
      <x:c r="C1650" s="21" t="str">
        <x:v>PAYROLL DIRECT DEPOSIT - PRPAY-2026-006736</x:v>
      </x:c>
      <x:c r="D1650" s="21" t="str">
        <x:v>Payroll</x:v>
      </x:c>
      <x:c r="E1650" s="18" t="n">
        <x:v>1657.18</x:v>
      </x:c>
      <x:c r="F1650" s="18"/>
      <x:c r="G1650" s="18" t="n">
        <x:v>-1657.18</x:v>
      </x:c>
      <x:c r="H1650" s="18" t="n">
        <x:f>H1649+G1650</x:f>
        <x:v>10358775.679999998</x:v>
      </x:c>
    </x:row>
    <x:row r="1651">
      <x:c r="A1651" s="20" t="n">
        <x:v>46195</x:v>
      </x:c>
      <x:c r="B1651" s="21" t="str">
        <x:v>PRPAY-2026-006737</x:v>
      </x:c>
      <x:c r="C1651" s="21" t="str">
        <x:v>PAYROLL DIRECT DEPOSIT - PRPAY-2026-006737</x:v>
      </x:c>
      <x:c r="D1651" s="21" t="str">
        <x:v>Payroll</x:v>
      </x:c>
      <x:c r="E1651" s="18" t="n">
        <x:v>2080.53</x:v>
      </x:c>
      <x:c r="F1651" s="18"/>
      <x:c r="G1651" s="18" t="n">
        <x:v>-2080.53</x:v>
      </x:c>
      <x:c r="H1651" s="18" t="n">
        <x:f>H1650+G1651</x:f>
        <x:v>10356695.149999999</x:v>
      </x:c>
    </x:row>
    <x:row r="1652">
      <x:c r="A1652" s="20" t="n">
        <x:v>46195</x:v>
      </x:c>
      <x:c r="B1652" s="21" t="str">
        <x:v>PRPAY-2026-006738</x:v>
      </x:c>
      <x:c r="C1652" s="21" t="str">
        <x:v>PAYROLL DIRECT DEPOSIT - PRPAY-2026-006738</x:v>
      </x:c>
      <x:c r="D1652" s="21" t="str">
        <x:v>Payroll</x:v>
      </x:c>
      <x:c r="E1652" s="18" t="n">
        <x:v>1882.54</x:v>
      </x:c>
      <x:c r="F1652" s="18"/>
      <x:c r="G1652" s="18" t="n">
        <x:v>-1882.54</x:v>
      </x:c>
      <x:c r="H1652" s="18" t="n">
        <x:f>H1651+G1652</x:f>
        <x:v>10354812.61</x:v>
      </x:c>
    </x:row>
    <x:row r="1653">
      <x:c r="A1653" s="20" t="n">
        <x:v>46195</x:v>
      </x:c>
      <x:c r="B1653" s="21" t="str">
        <x:v>PRPAY-2026-006739</x:v>
      </x:c>
      <x:c r="C1653" s="21" t="str">
        <x:v>PAYROLL DIRECT DEPOSIT - PRPAY-2026-006739</x:v>
      </x:c>
      <x:c r="D1653" s="21" t="str">
        <x:v>Payroll</x:v>
      </x:c>
      <x:c r="E1653" s="18" t="n">
        <x:v>1822.91</x:v>
      </x:c>
      <x:c r="F1653" s="18"/>
      <x:c r="G1653" s="18" t="n">
        <x:v>-1822.91</x:v>
      </x:c>
      <x:c r="H1653" s="18" t="n">
        <x:f>H1652+G1653</x:f>
        <x:v>10352989.7</x:v>
      </x:c>
    </x:row>
    <x:row r="1654">
      <x:c r="A1654" s="20" t="n">
        <x:v>46195</x:v>
      </x:c>
      <x:c r="B1654" s="21" t="str">
        <x:v>PRPAY-2026-006740</x:v>
      </x:c>
      <x:c r="C1654" s="21" t="str">
        <x:v>PAYROLL DIRECT DEPOSIT - PRPAY-2026-006740</x:v>
      </x:c>
      <x:c r="D1654" s="21" t="str">
        <x:v>Payroll</x:v>
      </x:c>
      <x:c r="E1654" s="18" t="n">
        <x:v>2011.52</x:v>
      </x:c>
      <x:c r="F1654" s="18"/>
      <x:c r="G1654" s="18" t="n">
        <x:v>-2011.52</x:v>
      </x:c>
      <x:c r="H1654" s="18" t="n">
        <x:f>H1653+G1654</x:f>
        <x:v>10350978.18</x:v>
      </x:c>
    </x:row>
    <x:row r="1655">
      <x:c r="A1655" s="20" t="n">
        <x:v>46195</x:v>
      </x:c>
      <x:c r="B1655" s="21" t="str">
        <x:v>PRPAY-2026-006741</x:v>
      </x:c>
      <x:c r="C1655" s="21" t="str">
        <x:v>PAYROLL DIRECT DEPOSIT - PRPAY-2026-006741</x:v>
      </x:c>
      <x:c r="D1655" s="21" t="str">
        <x:v>Payroll</x:v>
      </x:c>
      <x:c r="E1655" s="18" t="n">
        <x:v>2111.78</x:v>
      </x:c>
      <x:c r="F1655" s="18"/>
      <x:c r="G1655" s="18" t="n">
        <x:v>-2111.78</x:v>
      </x:c>
      <x:c r="H1655" s="18" t="n">
        <x:f>H1654+G1655</x:f>
        <x:v>10348866.4</x:v>
      </x:c>
    </x:row>
    <x:row r="1656">
      <x:c r="A1656" s="20" t="n">
        <x:v>46195</x:v>
      </x:c>
      <x:c r="B1656" s="21" t="str">
        <x:v>PRPAY-2026-006742</x:v>
      </x:c>
      <x:c r="C1656" s="21" t="str">
        <x:v>PAYROLL DIRECT DEPOSIT - PRPAY-2026-006742</x:v>
      </x:c>
      <x:c r="D1656" s="21" t="str">
        <x:v>Payroll</x:v>
      </x:c>
      <x:c r="E1656" s="18" t="n">
        <x:v>1761.13</x:v>
      </x:c>
      <x:c r="F1656" s="18"/>
      <x:c r="G1656" s="18" t="n">
        <x:v>-1761.13</x:v>
      </x:c>
      <x:c r="H1656" s="18" t="n">
        <x:f>H1655+G1656</x:f>
        <x:v>10347105.27</x:v>
      </x:c>
    </x:row>
    <x:row r="1657">
      <x:c r="A1657" s="20" t="n">
        <x:v>46195</x:v>
      </x:c>
      <x:c r="B1657" s="21" t="str">
        <x:v>PRPAY-2026-006743</x:v>
      </x:c>
      <x:c r="C1657" s="21" t="str">
        <x:v>PAYROLL DIRECT DEPOSIT - PRPAY-2026-006743</x:v>
      </x:c>
      <x:c r="D1657" s="21" t="str">
        <x:v>Payroll</x:v>
      </x:c>
      <x:c r="E1657" s="18" t="n">
        <x:v>1875.43</x:v>
      </x:c>
      <x:c r="F1657" s="18"/>
      <x:c r="G1657" s="18" t="n">
        <x:v>-1875.43</x:v>
      </x:c>
      <x:c r="H1657" s="18" t="n">
        <x:f>H1656+G1657</x:f>
        <x:v>10345229.84</x:v>
      </x:c>
    </x:row>
    <x:row r="1658">
      <x:c r="A1658" s="20" t="n">
        <x:v>46195</x:v>
      </x:c>
      <x:c r="B1658" s="21" t="str">
        <x:v>PRPAY-2026-006744</x:v>
      </x:c>
      <x:c r="C1658" s="21" t="str">
        <x:v>PAYROLL DIRECT DEPOSIT - PRPAY-2026-006744</x:v>
      </x:c>
      <x:c r="D1658" s="21" t="str">
        <x:v>Payroll</x:v>
      </x:c>
      <x:c r="E1658" s="18" t="n">
        <x:v>1573.6</x:v>
      </x:c>
      <x:c r="F1658" s="18"/>
      <x:c r="G1658" s="18" t="n">
        <x:v>-1573.6</x:v>
      </x:c>
      <x:c r="H1658" s="18" t="n">
        <x:f>H1657+G1658</x:f>
        <x:v>10343656.24</x:v>
      </x:c>
    </x:row>
    <x:row r="1659">
      <x:c r="A1659" s="20" t="n">
        <x:v>46195</x:v>
      </x:c>
      <x:c r="B1659" s="21" t="str">
        <x:v>PRPAY-2026-006745</x:v>
      </x:c>
      <x:c r="C1659" s="21" t="str">
        <x:v>PAYROLL DIRECT DEPOSIT - PRPAY-2026-006745</x:v>
      </x:c>
      <x:c r="D1659" s="21" t="str">
        <x:v>Payroll</x:v>
      </x:c>
      <x:c r="E1659" s="18" t="n">
        <x:v>1592.42</x:v>
      </x:c>
      <x:c r="F1659" s="18"/>
      <x:c r="G1659" s="18" t="n">
        <x:v>-1592.42</x:v>
      </x:c>
      <x:c r="H1659" s="18" t="n">
        <x:f>H1658+G1659</x:f>
        <x:v>10342063.82</x:v>
      </x:c>
    </x:row>
    <x:row r="1660">
      <x:c r="A1660" s="20" t="n">
        <x:v>46195</x:v>
      </x:c>
      <x:c r="B1660" s="21" t="str">
        <x:v>PRPAY-2026-006746</x:v>
      </x:c>
      <x:c r="C1660" s="21" t="str">
        <x:v>PAYROLL DIRECT DEPOSIT - PRPAY-2026-006746</x:v>
      </x:c>
      <x:c r="D1660" s="21" t="str">
        <x:v>Payroll</x:v>
      </x:c>
      <x:c r="E1660" s="18" t="n">
        <x:v>1933.45</x:v>
      </x:c>
      <x:c r="F1660" s="18"/>
      <x:c r="G1660" s="18" t="n">
        <x:v>-1933.45</x:v>
      </x:c>
      <x:c r="H1660" s="18" t="n">
        <x:f>H1659+G1660</x:f>
        <x:v>10340130.370000001</x:v>
      </x:c>
    </x:row>
    <x:row r="1661">
      <x:c r="A1661" s="20" t="n">
        <x:v>46195</x:v>
      </x:c>
      <x:c r="B1661" s="21" t="str">
        <x:v>PRPAY-2026-006747</x:v>
      </x:c>
      <x:c r="C1661" s="21" t="str">
        <x:v>PAYROLL DIRECT DEPOSIT - PRPAY-2026-006747</x:v>
      </x:c>
      <x:c r="D1661" s="21" t="str">
        <x:v>Payroll</x:v>
      </x:c>
      <x:c r="E1661" s="18" t="n">
        <x:v>1788.32</x:v>
      </x:c>
      <x:c r="F1661" s="18"/>
      <x:c r="G1661" s="18" t="n">
        <x:v>-1788.32</x:v>
      </x:c>
      <x:c r="H1661" s="18" t="n">
        <x:f>H1660+G1661</x:f>
        <x:v>10338342.05</x:v>
      </x:c>
    </x:row>
    <x:row r="1662">
      <x:c r="A1662" s="20" t="n">
        <x:v>46195</x:v>
      </x:c>
      <x:c r="B1662" s="21" t="str">
        <x:v>PRPAY-2026-006748</x:v>
      </x:c>
      <x:c r="C1662" s="21" t="str">
        <x:v>PAYROLL DIRECT DEPOSIT - PRPAY-2026-006748</x:v>
      </x:c>
      <x:c r="D1662" s="21" t="str">
        <x:v>Payroll</x:v>
      </x:c>
      <x:c r="E1662" s="18" t="n">
        <x:v>1713.91</x:v>
      </x:c>
      <x:c r="F1662" s="18"/>
      <x:c r="G1662" s="18" t="n">
        <x:v>-1713.91</x:v>
      </x:c>
      <x:c r="H1662" s="18" t="n">
        <x:f>H1661+G1662</x:f>
        <x:v>10336628.14</x:v>
      </x:c>
    </x:row>
    <x:row r="1663">
      <x:c r="A1663" s="20" t="n">
        <x:v>46195</x:v>
      </x:c>
      <x:c r="B1663" s="21" t="str">
        <x:v>PRPAY-2026-006749</x:v>
      </x:c>
      <x:c r="C1663" s="21" t="str">
        <x:v>PAYROLL DIRECT DEPOSIT - PRPAY-2026-006749</x:v>
      </x:c>
      <x:c r="D1663" s="21" t="str">
        <x:v>Payroll</x:v>
      </x:c>
      <x:c r="E1663" s="18" t="n">
        <x:v>2108.07</x:v>
      </x:c>
      <x:c r="F1663" s="18"/>
      <x:c r="G1663" s="18" t="n">
        <x:v>-2108.07</x:v>
      </x:c>
      <x:c r="H1663" s="18" t="n">
        <x:f>H1662+G1663</x:f>
        <x:v>10334520.07</x:v>
      </x:c>
    </x:row>
    <x:row r="1664">
      <x:c r="A1664" s="20" t="n">
        <x:v>46195</x:v>
      </x:c>
      <x:c r="B1664" s="21" t="str">
        <x:v>PRPAY-2026-006750</x:v>
      </x:c>
      <x:c r="C1664" s="21" t="str">
        <x:v>PAYROLL DIRECT DEPOSIT - PRPAY-2026-006750</x:v>
      </x:c>
      <x:c r="D1664" s="21" t="str">
        <x:v>Payroll</x:v>
      </x:c>
      <x:c r="E1664" s="18" t="n">
        <x:v>1743.68</x:v>
      </x:c>
      <x:c r="F1664" s="18"/>
      <x:c r="G1664" s="18" t="n">
        <x:v>-1743.68</x:v>
      </x:c>
      <x:c r="H1664" s="18" t="n">
        <x:f>H1663+G1664</x:f>
        <x:v>10332776.39</x:v>
      </x:c>
    </x:row>
    <x:row r="1665">
      <x:c r="A1665" s="20" t="n">
        <x:v>46195</x:v>
      </x:c>
      <x:c r="B1665" s="21" t="str">
        <x:v>PRPAY-2026-006751</x:v>
      </x:c>
      <x:c r="C1665" s="21" t="str">
        <x:v>PAYROLL DIRECT DEPOSIT - PRPAY-2026-006751</x:v>
      </x:c>
      <x:c r="D1665" s="21" t="str">
        <x:v>Payroll</x:v>
      </x:c>
      <x:c r="E1665" s="18" t="n">
        <x:v>1963.78</x:v>
      </x:c>
      <x:c r="F1665" s="18"/>
      <x:c r="G1665" s="18" t="n">
        <x:v>-1963.78</x:v>
      </x:c>
      <x:c r="H1665" s="18" t="n">
        <x:f>H1664+G1665</x:f>
        <x:v>10330812.610000001</x:v>
      </x:c>
    </x:row>
    <x:row r="1666">
      <x:c r="A1666" s="20" t="n">
        <x:v>46195</x:v>
      </x:c>
      <x:c r="B1666" s="21" t="str">
        <x:v>PRPAY-2026-006752</x:v>
      </x:c>
      <x:c r="C1666" s="21" t="str">
        <x:v>PAYROLL DIRECT DEPOSIT - PRPAY-2026-006752</x:v>
      </x:c>
      <x:c r="D1666" s="21" t="str">
        <x:v>Payroll</x:v>
      </x:c>
      <x:c r="E1666" s="18" t="n">
        <x:v>2114.7</x:v>
      </x:c>
      <x:c r="F1666" s="18"/>
      <x:c r="G1666" s="18" t="n">
        <x:v>-2114.7</x:v>
      </x:c>
      <x:c r="H1666" s="18" t="n">
        <x:f>H1665+G1666</x:f>
        <x:v>10328697.910000002</x:v>
      </x:c>
    </x:row>
    <x:row r="1667">
      <x:c r="A1667" s="20" t="n">
        <x:v>46195</x:v>
      </x:c>
      <x:c r="B1667" s="21" t="str">
        <x:v>PRPAY-2026-006753</x:v>
      </x:c>
      <x:c r="C1667" s="21" t="str">
        <x:v>PAYROLL DIRECT DEPOSIT - PRPAY-2026-006753</x:v>
      </x:c>
      <x:c r="D1667" s="21" t="str">
        <x:v>Payroll</x:v>
      </x:c>
      <x:c r="E1667" s="18" t="n">
        <x:v>1754.59</x:v>
      </x:c>
      <x:c r="F1667" s="18"/>
      <x:c r="G1667" s="18" t="n">
        <x:v>-1754.59</x:v>
      </x:c>
      <x:c r="H1667" s="18" t="n">
        <x:f>H1666+G1667</x:f>
        <x:v>10326943.320000002</x:v>
      </x:c>
    </x:row>
    <x:row r="1668">
      <x:c r="A1668" s="20" t="n">
        <x:v>46195</x:v>
      </x:c>
      <x:c r="B1668" s="21" t="str">
        <x:v>PRPAY-2026-006754</x:v>
      </x:c>
      <x:c r="C1668" s="21" t="str">
        <x:v>PAYROLL DIRECT DEPOSIT - PRPAY-2026-006754</x:v>
      </x:c>
      <x:c r="D1668" s="21" t="str">
        <x:v>Payroll</x:v>
      </x:c>
      <x:c r="E1668" s="18" t="n">
        <x:v>1721</x:v>
      </x:c>
      <x:c r="F1668" s="18"/>
      <x:c r="G1668" s="18" t="n">
        <x:v>-1721</x:v>
      </x:c>
      <x:c r="H1668" s="18" t="n">
        <x:f>H1667+G1668</x:f>
        <x:v>10325222.320000002</x:v>
      </x:c>
    </x:row>
    <x:row r="1669">
      <x:c r="A1669" s="20" t="n">
        <x:v>46195</x:v>
      </x:c>
      <x:c r="B1669" s="21" t="str">
        <x:v>PRPAY-2026-006755</x:v>
      </x:c>
      <x:c r="C1669" s="21" t="str">
        <x:v>PAYROLL DIRECT DEPOSIT - PRPAY-2026-006755</x:v>
      </x:c>
      <x:c r="D1669" s="21" t="str">
        <x:v>Payroll</x:v>
      </x:c>
      <x:c r="E1669" s="18" t="n">
        <x:v>1900.95</x:v>
      </x:c>
      <x:c r="F1669" s="18"/>
      <x:c r="G1669" s="18" t="n">
        <x:v>-1900.95</x:v>
      </x:c>
      <x:c r="H1669" s="18" t="n">
        <x:f>H1668+G1669</x:f>
        <x:v>10323321.370000003</x:v>
      </x:c>
    </x:row>
    <x:row r="1670">
      <x:c r="A1670" s="20" t="n">
        <x:v>46195</x:v>
      </x:c>
      <x:c r="B1670" s="21" t="str">
        <x:v>PRPAY-2026-006756</x:v>
      </x:c>
      <x:c r="C1670" s="21" t="str">
        <x:v>PAYROLL DIRECT DEPOSIT - PRPAY-2026-006756</x:v>
      </x:c>
      <x:c r="D1670" s="21" t="str">
        <x:v>Payroll</x:v>
      </x:c>
      <x:c r="E1670" s="18" t="n">
        <x:v>1827.24</x:v>
      </x:c>
      <x:c r="F1670" s="18"/>
      <x:c r="G1670" s="18" t="n">
        <x:v>-1827.24</x:v>
      </x:c>
      <x:c r="H1670" s="18" t="n">
        <x:f>H1669+G1670</x:f>
        <x:v>10321494.130000003</x:v>
      </x:c>
    </x:row>
    <x:row r="1671">
      <x:c r="A1671" s="20" t="n">
        <x:v>46195</x:v>
      </x:c>
      <x:c r="B1671" s="21" t="str">
        <x:v>PRPAY-2026-006757</x:v>
      </x:c>
      <x:c r="C1671" s="21" t="str">
        <x:v>PAYROLL DIRECT DEPOSIT - PRPAY-2026-006757</x:v>
      </x:c>
      <x:c r="D1671" s="21" t="str">
        <x:v>Payroll</x:v>
      </x:c>
      <x:c r="E1671" s="18" t="n">
        <x:v>1789.2</x:v>
      </x:c>
      <x:c r="F1671" s="18"/>
      <x:c r="G1671" s="18" t="n">
        <x:v>-1789.2</x:v>
      </x:c>
      <x:c r="H1671" s="18" t="n">
        <x:f>H1670+G1671</x:f>
        <x:v>10319704.930000003</x:v>
      </x:c>
    </x:row>
    <x:row r="1672">
      <x:c r="A1672" s="20" t="n">
        <x:v>46195</x:v>
      </x:c>
      <x:c r="B1672" s="21" t="str">
        <x:v>PRPAY-2026-006758</x:v>
      </x:c>
      <x:c r="C1672" s="21" t="str">
        <x:v>PAYROLL DIRECT DEPOSIT - PRPAY-2026-006758</x:v>
      </x:c>
      <x:c r="D1672" s="21" t="str">
        <x:v>Payroll</x:v>
      </x:c>
      <x:c r="E1672" s="18" t="n">
        <x:v>2097.01</x:v>
      </x:c>
      <x:c r="F1672" s="18"/>
      <x:c r="G1672" s="18" t="n">
        <x:v>-2097.01</x:v>
      </x:c>
      <x:c r="H1672" s="18" t="n">
        <x:f>H1671+G1672</x:f>
        <x:v>10317607.920000004</x:v>
      </x:c>
    </x:row>
    <x:row r="1673">
      <x:c r="A1673" s="20" t="n">
        <x:v>46195</x:v>
      </x:c>
      <x:c r="B1673" s="21" t="str">
        <x:v>PRPAY-2026-006759</x:v>
      </x:c>
      <x:c r="C1673" s="21" t="str">
        <x:v>PAYROLL DIRECT DEPOSIT - PRPAY-2026-006759</x:v>
      </x:c>
      <x:c r="D1673" s="21" t="str">
        <x:v>Payroll</x:v>
      </x:c>
      <x:c r="E1673" s="18" t="n">
        <x:v>1830.07</x:v>
      </x:c>
      <x:c r="F1673" s="18"/>
      <x:c r="G1673" s="18" t="n">
        <x:v>-1830.07</x:v>
      </x:c>
      <x:c r="H1673" s="18" t="n">
        <x:f>H1672+G1673</x:f>
        <x:v>10315777.850000003</x:v>
      </x:c>
    </x:row>
    <x:row r="1674">
      <x:c r="A1674" s="20" t="n">
        <x:v>46195</x:v>
      </x:c>
      <x:c r="B1674" s="21" t="str">
        <x:v>PRPAY-2026-006760</x:v>
      </x:c>
      <x:c r="C1674" s="21" t="str">
        <x:v>PAYROLL DIRECT DEPOSIT - PRPAY-2026-006760</x:v>
      </x:c>
      <x:c r="D1674" s="21" t="str">
        <x:v>Payroll</x:v>
      </x:c>
      <x:c r="E1674" s="18" t="n">
        <x:v>1929.26</x:v>
      </x:c>
      <x:c r="F1674" s="18"/>
      <x:c r="G1674" s="18" t="n">
        <x:v>-1929.26</x:v>
      </x:c>
      <x:c r="H1674" s="18" t="n">
        <x:f>H1673+G1674</x:f>
        <x:v>10313848.590000004</x:v>
      </x:c>
    </x:row>
    <x:row r="1675">
      <x:c r="A1675" s="20" t="n">
        <x:v>46195</x:v>
      </x:c>
      <x:c r="B1675" s="21" t="str">
        <x:v>PRPAY-2026-006761</x:v>
      </x:c>
      <x:c r="C1675" s="21" t="str">
        <x:v>PAYROLL DIRECT DEPOSIT - PRPAY-2026-006761</x:v>
      </x:c>
      <x:c r="D1675" s="21" t="str">
        <x:v>Payroll</x:v>
      </x:c>
      <x:c r="E1675" s="18" t="n">
        <x:v>1619.81</x:v>
      </x:c>
      <x:c r="F1675" s="18"/>
      <x:c r="G1675" s="18" t="n">
        <x:v>-1619.81</x:v>
      </x:c>
      <x:c r="H1675" s="18" t="n">
        <x:f>H1674+G1675</x:f>
        <x:v>10312228.780000003</x:v>
      </x:c>
    </x:row>
    <x:row r="1676">
      <x:c r="A1676" s="20" t="n">
        <x:v>46195</x:v>
      </x:c>
      <x:c r="B1676" s="21" t="str">
        <x:v>PRPAY-2026-006762</x:v>
      </x:c>
      <x:c r="C1676" s="21" t="str">
        <x:v>PAYROLL DIRECT DEPOSIT - PRPAY-2026-006762</x:v>
      </x:c>
      <x:c r="D1676" s="21" t="str">
        <x:v>Payroll</x:v>
      </x:c>
      <x:c r="E1676" s="18" t="n">
        <x:v>2076.42</x:v>
      </x:c>
      <x:c r="F1676" s="18"/>
      <x:c r="G1676" s="18" t="n">
        <x:v>-2076.42</x:v>
      </x:c>
      <x:c r="H1676" s="18" t="n">
        <x:f>H1675+G1676</x:f>
        <x:v>10310152.360000003</x:v>
      </x:c>
    </x:row>
    <x:row r="1677">
      <x:c r="A1677" s="20" t="n">
        <x:v>46195</x:v>
      </x:c>
      <x:c r="B1677" s="21" t="str">
        <x:v>PRPAY-2026-006763</x:v>
      </x:c>
      <x:c r="C1677" s="21" t="str">
        <x:v>PAYROLL DIRECT DEPOSIT - PRPAY-2026-006763</x:v>
      </x:c>
      <x:c r="D1677" s="21" t="str">
        <x:v>Payroll</x:v>
      </x:c>
      <x:c r="E1677" s="18" t="n">
        <x:v>1971.03</x:v>
      </x:c>
      <x:c r="F1677" s="18"/>
      <x:c r="G1677" s="18" t="n">
        <x:v>-1971.03</x:v>
      </x:c>
      <x:c r="H1677" s="18" t="n">
        <x:f>H1676+G1677</x:f>
        <x:v>10308181.330000004</x:v>
      </x:c>
    </x:row>
    <x:row r="1678">
      <x:c r="A1678" s="20" t="n">
        <x:v>46195</x:v>
      </x:c>
      <x:c r="B1678" s="21" t="str">
        <x:v>PRPAY-2026-006764</x:v>
      </x:c>
      <x:c r="C1678" s="21" t="str">
        <x:v>PAYROLL DIRECT DEPOSIT - PRPAY-2026-006764</x:v>
      </x:c>
      <x:c r="D1678" s="21" t="str">
        <x:v>Payroll</x:v>
      </x:c>
      <x:c r="E1678" s="18" t="n">
        <x:v>2344.14</x:v>
      </x:c>
      <x:c r="F1678" s="18"/>
      <x:c r="G1678" s="18" t="n">
        <x:v>-2344.14</x:v>
      </x:c>
      <x:c r="H1678" s="18" t="n">
        <x:f>H1677+G1678</x:f>
        <x:v>10305837.190000003</x:v>
      </x:c>
    </x:row>
    <x:row r="1679">
      <x:c r="A1679" s="20" t="n">
        <x:v>46195</x:v>
      </x:c>
      <x:c r="B1679" s="21" t="str">
        <x:v>PRPAY-2026-006765</x:v>
      </x:c>
      <x:c r="C1679" s="21" t="str">
        <x:v>PAYROLL DIRECT DEPOSIT - PRPAY-2026-006765</x:v>
      </x:c>
      <x:c r="D1679" s="21" t="str">
        <x:v>Payroll</x:v>
      </x:c>
      <x:c r="E1679" s="18" t="n">
        <x:v>1904.47</x:v>
      </x:c>
      <x:c r="F1679" s="18"/>
      <x:c r="G1679" s="18" t="n">
        <x:v>-1904.47</x:v>
      </x:c>
      <x:c r="H1679" s="18" t="n">
        <x:f>H1678+G1679</x:f>
        <x:v>10303932.720000003</x:v>
      </x:c>
    </x:row>
    <x:row r="1680">
      <x:c r="A1680" s="20" t="n">
        <x:v>46195</x:v>
      </x:c>
      <x:c r="B1680" s="21" t="str">
        <x:v>PRPAY-2026-006766</x:v>
      </x:c>
      <x:c r="C1680" s="21" t="str">
        <x:v>PAYROLL DIRECT DEPOSIT - PRPAY-2026-006766</x:v>
      </x:c>
      <x:c r="D1680" s="21" t="str">
        <x:v>Payroll</x:v>
      </x:c>
      <x:c r="E1680" s="18" t="n">
        <x:v>1853.48</x:v>
      </x:c>
      <x:c r="F1680" s="18"/>
      <x:c r="G1680" s="18" t="n">
        <x:v>-1853.48</x:v>
      </x:c>
      <x:c r="H1680" s="18" t="n">
        <x:f>H1679+G1680</x:f>
        <x:v>10302079.240000002</x:v>
      </x:c>
    </x:row>
    <x:row r="1681">
      <x:c r="A1681" s="20" t="n">
        <x:v>46195</x:v>
      </x:c>
      <x:c r="B1681" s="21" t="str">
        <x:v>PRPAY-2026-006767</x:v>
      </x:c>
      <x:c r="C1681" s="21" t="str">
        <x:v>PAYROLL DIRECT DEPOSIT - PRPAY-2026-006767</x:v>
      </x:c>
      <x:c r="D1681" s="21" t="str">
        <x:v>Payroll</x:v>
      </x:c>
      <x:c r="E1681" s="18" t="n">
        <x:v>1889.27</x:v>
      </x:c>
      <x:c r="F1681" s="18"/>
      <x:c r="G1681" s="18" t="n">
        <x:v>-1889.27</x:v>
      </x:c>
      <x:c r="H1681" s="18" t="n">
        <x:f>H1680+G1681</x:f>
        <x:v>10300189.970000003</x:v>
      </x:c>
    </x:row>
    <x:row r="1682">
      <x:c r="A1682" s="20" t="n">
        <x:v>46195</x:v>
      </x:c>
      <x:c r="B1682" s="21" t="str">
        <x:v>PRPAY-2026-006768</x:v>
      </x:c>
      <x:c r="C1682" s="21" t="str">
        <x:v>PAYROLL DIRECT DEPOSIT - PRPAY-2026-006768</x:v>
      </x:c>
      <x:c r="D1682" s="21" t="str">
        <x:v>Payroll</x:v>
      </x:c>
      <x:c r="E1682" s="18" t="n">
        <x:v>2162.55</x:v>
      </x:c>
      <x:c r="F1682" s="18"/>
      <x:c r="G1682" s="18" t="n">
        <x:v>-2162.55</x:v>
      </x:c>
      <x:c r="H1682" s="18" t="n">
        <x:f>H1681+G1682</x:f>
        <x:v>10298027.420000002</x:v>
      </x:c>
    </x:row>
    <x:row r="1683">
      <x:c r="A1683" s="20" t="n">
        <x:v>46195</x:v>
      </x:c>
      <x:c r="B1683" s="21" t="str">
        <x:v>PRPAY-2026-006769</x:v>
      </x:c>
      <x:c r="C1683" s="21" t="str">
        <x:v>PAYROLL DIRECT DEPOSIT - PRPAY-2026-006769</x:v>
      </x:c>
      <x:c r="D1683" s="21" t="str">
        <x:v>Payroll</x:v>
      </x:c>
      <x:c r="E1683" s="18" t="n">
        <x:v>1830.23</x:v>
      </x:c>
      <x:c r="F1683" s="18"/>
      <x:c r="G1683" s="18" t="n">
        <x:v>-1830.23</x:v>
      </x:c>
      <x:c r="H1683" s="18" t="n">
        <x:f>H1682+G1683</x:f>
        <x:v>10296197.190000001</x:v>
      </x:c>
    </x:row>
    <x:row r="1684">
      <x:c r="A1684" s="20" t="n">
        <x:v>46195</x:v>
      </x:c>
      <x:c r="B1684" s="21" t="str">
        <x:v>PRPAY-2026-006770</x:v>
      </x:c>
      <x:c r="C1684" s="21" t="str">
        <x:v>PAYROLL DIRECT DEPOSIT - PRPAY-2026-006770</x:v>
      </x:c>
      <x:c r="D1684" s="21" t="str">
        <x:v>Payroll</x:v>
      </x:c>
      <x:c r="E1684" s="18" t="n">
        <x:v>1950.72</x:v>
      </x:c>
      <x:c r="F1684" s="18"/>
      <x:c r="G1684" s="18" t="n">
        <x:v>-1950.72</x:v>
      </x:c>
      <x:c r="H1684" s="18" t="n">
        <x:f>H1683+G1684</x:f>
        <x:v>10294246.47</x:v>
      </x:c>
    </x:row>
    <x:row r="1685">
      <x:c r="A1685" s="20" t="n">
        <x:v>46195</x:v>
      </x:c>
      <x:c r="B1685" s="21" t="str">
        <x:v>PRPAY-2026-006771</x:v>
      </x:c>
      <x:c r="C1685" s="21" t="str">
        <x:v>PAYROLL DIRECT DEPOSIT - PRPAY-2026-006771</x:v>
      </x:c>
      <x:c r="D1685" s="21" t="str">
        <x:v>Payroll</x:v>
      </x:c>
      <x:c r="E1685" s="18" t="n">
        <x:v>2292.46</x:v>
      </x:c>
      <x:c r="F1685" s="18"/>
      <x:c r="G1685" s="18" t="n">
        <x:v>-2292.46</x:v>
      </x:c>
      <x:c r="H1685" s="18" t="n">
        <x:f>H1684+G1685</x:f>
        <x:v>10291954.01</x:v>
      </x:c>
    </x:row>
    <x:row r="1686">
      <x:c r="A1686" s="20" t="n">
        <x:v>46195</x:v>
      </x:c>
      <x:c r="B1686" s="21" t="str">
        <x:v>PRPAY-2026-006772</x:v>
      </x:c>
      <x:c r="C1686" s="21" t="str">
        <x:v>PAYROLL DIRECT DEPOSIT - PRPAY-2026-006772</x:v>
      </x:c>
      <x:c r="D1686" s="21" t="str">
        <x:v>Payroll</x:v>
      </x:c>
      <x:c r="E1686" s="18" t="n">
        <x:v>1956.39</x:v>
      </x:c>
      <x:c r="F1686" s="18"/>
      <x:c r="G1686" s="18" t="n">
        <x:v>-1956.39</x:v>
      </x:c>
      <x:c r="H1686" s="18" t="n">
        <x:f>H1685+G1686</x:f>
        <x:v>10289997.62</x:v>
      </x:c>
    </x:row>
    <x:row r="1687">
      <x:c r="A1687" s="20" t="n">
        <x:v>46195</x:v>
      </x:c>
      <x:c r="B1687" s="21" t="str">
        <x:v>PRPAY-2026-006773</x:v>
      </x:c>
      <x:c r="C1687" s="21" t="str">
        <x:v>PAYROLL DIRECT DEPOSIT - PRPAY-2026-006773</x:v>
      </x:c>
      <x:c r="D1687" s="21" t="str">
        <x:v>Payroll</x:v>
      </x:c>
      <x:c r="E1687" s="18" t="n">
        <x:v>2155.87</x:v>
      </x:c>
      <x:c r="F1687" s="18"/>
      <x:c r="G1687" s="18" t="n">
        <x:v>-2155.87</x:v>
      </x:c>
      <x:c r="H1687" s="18" t="n">
        <x:f>H1686+G1687</x:f>
        <x:v>10287841.75</x:v>
      </x:c>
    </x:row>
    <x:row r="1688">
      <x:c r="A1688" s="20" t="n">
        <x:v>46195</x:v>
      </x:c>
      <x:c r="B1688" s="21" t="str">
        <x:v>PRPAY-2026-006774</x:v>
      </x:c>
      <x:c r="C1688" s="21" t="str">
        <x:v>PAYROLL DIRECT DEPOSIT - PRPAY-2026-006774</x:v>
      </x:c>
      <x:c r="D1688" s="21" t="str">
        <x:v>Payroll</x:v>
      </x:c>
      <x:c r="E1688" s="18" t="n">
        <x:v>2187.26</x:v>
      </x:c>
      <x:c r="F1688" s="18"/>
      <x:c r="G1688" s="18" t="n">
        <x:v>-2187.26</x:v>
      </x:c>
      <x:c r="H1688" s="18" t="n">
        <x:f>H1687+G1688</x:f>
        <x:v>10285654.49</x:v>
      </x:c>
    </x:row>
    <x:row r="1689">
      <x:c r="A1689" s="20" t="n">
        <x:v>46195</x:v>
      </x:c>
      <x:c r="B1689" s="21" t="str">
        <x:v>PRPAY-2026-006775</x:v>
      </x:c>
      <x:c r="C1689" s="21" t="str">
        <x:v>PAYROLL DIRECT DEPOSIT - PRPAY-2026-006775</x:v>
      </x:c>
      <x:c r="D1689" s="21" t="str">
        <x:v>Payroll</x:v>
      </x:c>
      <x:c r="E1689" s="18" t="n">
        <x:v>1959.18</x:v>
      </x:c>
      <x:c r="F1689" s="18"/>
      <x:c r="G1689" s="18" t="n">
        <x:v>-1959.18</x:v>
      </x:c>
      <x:c r="H1689" s="18" t="n">
        <x:f>H1688+G1689</x:f>
        <x:v>10283695.31</x:v>
      </x:c>
    </x:row>
    <x:row r="1690">
      <x:c r="A1690" s="20" t="n">
        <x:v>46195</x:v>
      </x:c>
      <x:c r="B1690" s="21" t="str">
        <x:v>PRPAY-2026-006776</x:v>
      </x:c>
      <x:c r="C1690" s="21" t="str">
        <x:v>PAYROLL DIRECT DEPOSIT - PRPAY-2026-006776</x:v>
      </x:c>
      <x:c r="D1690" s="21" t="str">
        <x:v>Payroll</x:v>
      </x:c>
      <x:c r="E1690" s="18" t="n">
        <x:v>2322.78</x:v>
      </x:c>
      <x:c r="F1690" s="18"/>
      <x:c r="G1690" s="18" t="n">
        <x:v>-2322.78</x:v>
      </x:c>
      <x:c r="H1690" s="18" t="n">
        <x:f>H1689+G1690</x:f>
        <x:v>10281372.530000001</x:v>
      </x:c>
    </x:row>
    <x:row r="1691">
      <x:c r="A1691" s="20" t="n">
        <x:v>46195</x:v>
      </x:c>
      <x:c r="B1691" s="21" t="str">
        <x:v>PRPAY-2026-006777</x:v>
      </x:c>
      <x:c r="C1691" s="21" t="str">
        <x:v>PAYROLL DIRECT DEPOSIT - PRPAY-2026-006777</x:v>
      </x:c>
      <x:c r="D1691" s="21" t="str">
        <x:v>Payroll</x:v>
      </x:c>
      <x:c r="E1691" s="18" t="n">
        <x:v>2240.46</x:v>
      </x:c>
      <x:c r="F1691" s="18"/>
      <x:c r="G1691" s="18" t="n">
        <x:v>-2240.46</x:v>
      </x:c>
      <x:c r="H1691" s="18" t="n">
        <x:f>H1690+G1691</x:f>
        <x:v>10279132.07</x:v>
      </x:c>
    </x:row>
    <x:row r="1692">
      <x:c r="A1692" s="20" t="n">
        <x:v>46195</x:v>
      </x:c>
      <x:c r="B1692" s="21" t="str">
        <x:v>PRPAY-2026-006778</x:v>
      </x:c>
      <x:c r="C1692" s="21" t="str">
        <x:v>PAYROLL DIRECT DEPOSIT - PRPAY-2026-006778</x:v>
      </x:c>
      <x:c r="D1692" s="21" t="str">
        <x:v>Payroll</x:v>
      </x:c>
      <x:c r="E1692" s="18" t="n">
        <x:v>1830.73</x:v>
      </x:c>
      <x:c r="F1692" s="18"/>
      <x:c r="G1692" s="18" t="n">
        <x:v>-1830.73</x:v>
      </x:c>
      <x:c r="H1692" s="18" t="n">
        <x:f>H1691+G1692</x:f>
        <x:v>10277301.34</x:v>
      </x:c>
    </x:row>
    <x:row r="1693">
      <x:c r="A1693" s="20" t="n">
        <x:v>46195</x:v>
      </x:c>
      <x:c r="B1693" s="21" t="str">
        <x:v>PRPAY-2026-006779</x:v>
      </x:c>
      <x:c r="C1693" s="21" t="str">
        <x:v>PAYROLL DIRECT DEPOSIT - PRPAY-2026-006779</x:v>
      </x:c>
      <x:c r="D1693" s="21" t="str">
        <x:v>Payroll</x:v>
      </x:c>
      <x:c r="E1693" s="18" t="n">
        <x:v>2063.93</x:v>
      </x:c>
      <x:c r="F1693" s="18"/>
      <x:c r="G1693" s="18" t="n">
        <x:v>-2063.93</x:v>
      </x:c>
      <x:c r="H1693" s="18" t="n">
        <x:f>H1692+G1693</x:f>
        <x:v>10275237.41</x:v>
      </x:c>
    </x:row>
    <x:row r="1694">
      <x:c r="A1694" s="20" t="n">
        <x:v>46195</x:v>
      </x:c>
      <x:c r="B1694" s="21" t="str">
        <x:v>PRPAY-2026-006780</x:v>
      </x:c>
      <x:c r="C1694" s="21" t="str">
        <x:v>PAYROLL DIRECT DEPOSIT - PRPAY-2026-006780</x:v>
      </x:c>
      <x:c r="D1694" s="21" t="str">
        <x:v>Payroll</x:v>
      </x:c>
      <x:c r="E1694" s="18" t="n">
        <x:v>2023.38</x:v>
      </x:c>
      <x:c r="F1694" s="18"/>
      <x:c r="G1694" s="18" t="n">
        <x:v>-2023.38</x:v>
      </x:c>
      <x:c r="H1694" s="18" t="n">
        <x:f>H1693+G1694</x:f>
        <x:v>10273214.03</x:v>
      </x:c>
    </x:row>
    <x:row r="1695">
      <x:c r="A1695" s="20" t="n">
        <x:v>46195</x:v>
      </x:c>
      <x:c r="B1695" s="21" t="str">
        <x:v>PRPAY-2026-006781</x:v>
      </x:c>
      <x:c r="C1695" s="21" t="str">
        <x:v>PAYROLL DIRECT DEPOSIT - PRPAY-2026-006781</x:v>
      </x:c>
      <x:c r="D1695" s="21" t="str">
        <x:v>Payroll</x:v>
      </x:c>
      <x:c r="E1695" s="18" t="n">
        <x:v>1807.89</x:v>
      </x:c>
      <x:c r="F1695" s="18"/>
      <x:c r="G1695" s="18" t="n">
        <x:v>-1807.89</x:v>
      </x:c>
      <x:c r="H1695" s="18" t="n">
        <x:f>H1694+G1695</x:f>
        <x:v>10271406.139999999</x:v>
      </x:c>
    </x:row>
    <x:row r="1696">
      <x:c r="A1696" s="20" t="n">
        <x:v>46195</x:v>
      </x:c>
      <x:c r="B1696" s="21" t="str">
        <x:v>PRPAY-2026-006782</x:v>
      </x:c>
      <x:c r="C1696" s="21" t="str">
        <x:v>PAYROLL DIRECT DEPOSIT - PRPAY-2026-006782</x:v>
      </x:c>
      <x:c r="D1696" s="21" t="str">
        <x:v>Payroll</x:v>
      </x:c>
      <x:c r="E1696" s="18" t="n">
        <x:v>1732.1</x:v>
      </x:c>
      <x:c r="F1696" s="18"/>
      <x:c r="G1696" s="18" t="n">
        <x:v>-1732.1</x:v>
      </x:c>
      <x:c r="H1696" s="18" t="n">
        <x:f>H1695+G1696</x:f>
        <x:v>10269674.04</x:v>
      </x:c>
    </x:row>
    <x:row r="1697">
      <x:c r="A1697" s="20" t="n">
        <x:v>46195</x:v>
      </x:c>
      <x:c r="B1697" s="21" t="str">
        <x:v>PRPAY-2026-006783</x:v>
      </x:c>
      <x:c r="C1697" s="21" t="str">
        <x:v>PAYROLL DIRECT DEPOSIT - PRPAY-2026-006783</x:v>
      </x:c>
      <x:c r="D1697" s="21" t="str">
        <x:v>Payroll</x:v>
      </x:c>
      <x:c r="E1697" s="18" t="n">
        <x:v>1899.64</x:v>
      </x:c>
      <x:c r="F1697" s="18"/>
      <x:c r="G1697" s="18" t="n">
        <x:v>-1899.64</x:v>
      </x:c>
      <x:c r="H1697" s="18" t="n">
        <x:f>H1696+G1697</x:f>
        <x:v>10267774.399999999</x:v>
      </x:c>
    </x:row>
    <x:row r="1698">
      <x:c r="A1698" s="20" t="n">
        <x:v>46195</x:v>
      </x:c>
      <x:c r="B1698" s="21" t="str">
        <x:v>PRPAY-2026-006784</x:v>
      </x:c>
      <x:c r="C1698" s="21" t="str">
        <x:v>PAYROLL DIRECT DEPOSIT - PRPAY-2026-006784</x:v>
      </x:c>
      <x:c r="D1698" s="21" t="str">
        <x:v>Payroll</x:v>
      </x:c>
      <x:c r="E1698" s="18" t="n">
        <x:v>1442.85</x:v>
      </x:c>
      <x:c r="F1698" s="18"/>
      <x:c r="G1698" s="18" t="n">
        <x:v>-1442.85</x:v>
      </x:c>
      <x:c r="H1698" s="18" t="n">
        <x:f>H1697+G1698</x:f>
        <x:v>10266331.549999999</x:v>
      </x:c>
    </x:row>
    <x:row r="1699">
      <x:c r="A1699" s="20" t="n">
        <x:v>46195</x:v>
      </x:c>
      <x:c r="B1699" s="21" t="str">
        <x:v>PRPAY-2026-006785</x:v>
      </x:c>
      <x:c r="C1699" s="21" t="str">
        <x:v>PAYROLL DIRECT DEPOSIT - PRPAY-2026-006785</x:v>
      </x:c>
      <x:c r="D1699" s="21" t="str">
        <x:v>Payroll</x:v>
      </x:c>
      <x:c r="E1699" s="18" t="n">
        <x:v>1711.08</x:v>
      </x:c>
      <x:c r="F1699" s="18"/>
      <x:c r="G1699" s="18" t="n">
        <x:v>-1711.08</x:v>
      </x:c>
      <x:c r="H1699" s="18" t="n">
        <x:f>H1698+G1699</x:f>
        <x:v>10264620.469999999</x:v>
      </x:c>
    </x:row>
    <x:row r="1700">
      <x:c r="A1700" s="20" t="n">
        <x:v>46195</x:v>
      </x:c>
      <x:c r="B1700" s="21" t="str">
        <x:v>PRPAY-2026-006786</x:v>
      </x:c>
      <x:c r="C1700" s="21" t="str">
        <x:v>PAYROLL DIRECT DEPOSIT - PRPAY-2026-006786</x:v>
      </x:c>
      <x:c r="D1700" s="21" t="str">
        <x:v>Payroll</x:v>
      </x:c>
      <x:c r="E1700" s="18" t="n">
        <x:v>1622.39</x:v>
      </x:c>
      <x:c r="F1700" s="18"/>
      <x:c r="G1700" s="18" t="n">
        <x:v>-1622.39</x:v>
      </x:c>
      <x:c r="H1700" s="18" t="n">
        <x:f>H1699+G1700</x:f>
        <x:v>10262998.079999998</x:v>
      </x:c>
    </x:row>
    <x:row r="1701">
      <x:c r="A1701" s="20" t="n">
        <x:v>46195</x:v>
      </x:c>
      <x:c r="B1701" s="21" t="str">
        <x:v>PRPAY-2026-006787</x:v>
      </x:c>
      <x:c r="C1701" s="21" t="str">
        <x:v>PAYROLL DIRECT DEPOSIT - PRPAY-2026-006787</x:v>
      </x:c>
      <x:c r="D1701" s="21" t="str">
        <x:v>Payroll</x:v>
      </x:c>
      <x:c r="E1701" s="18" t="n">
        <x:v>1747.82</x:v>
      </x:c>
      <x:c r="F1701" s="18"/>
      <x:c r="G1701" s="18" t="n">
        <x:v>-1747.82</x:v>
      </x:c>
      <x:c r="H1701" s="18" t="n">
        <x:f>H1700+G1701</x:f>
        <x:v>10261250.259999998</x:v>
      </x:c>
    </x:row>
    <x:row r="1702">
      <x:c r="A1702" s="20" t="n">
        <x:v>46195</x:v>
      </x:c>
      <x:c r="B1702" s="21" t="str">
        <x:v>PRPAY-2026-006788</x:v>
      </x:c>
      <x:c r="C1702" s="21" t="str">
        <x:v>PAYROLL DIRECT DEPOSIT - PRPAY-2026-006788</x:v>
      </x:c>
      <x:c r="D1702" s="21" t="str">
        <x:v>Payroll</x:v>
      </x:c>
      <x:c r="E1702" s="18" t="n">
        <x:v>1584.33</x:v>
      </x:c>
      <x:c r="F1702" s="18"/>
      <x:c r="G1702" s="18" t="n">
        <x:v>-1584.33</x:v>
      </x:c>
      <x:c r="H1702" s="18" t="n">
        <x:f>H1701+G1702</x:f>
        <x:v>10259665.929999998</x:v>
      </x:c>
    </x:row>
    <x:row r="1703">
      <x:c r="A1703" s="20" t="n">
        <x:v>46195</x:v>
      </x:c>
      <x:c r="B1703" s="21" t="str">
        <x:v>PRPAY-2026-006789</x:v>
      </x:c>
      <x:c r="C1703" s="21" t="str">
        <x:v>PAYROLL DIRECT DEPOSIT - PRPAY-2026-006789</x:v>
      </x:c>
      <x:c r="D1703" s="21" t="str">
        <x:v>Payroll</x:v>
      </x:c>
      <x:c r="E1703" s="18" t="n">
        <x:v>1616.84</x:v>
      </x:c>
      <x:c r="F1703" s="18"/>
      <x:c r="G1703" s="18" t="n">
        <x:v>-1616.84</x:v>
      </x:c>
      <x:c r="H1703" s="18" t="n">
        <x:f>H1702+G1703</x:f>
        <x:v>10258049.089999998</x:v>
      </x:c>
    </x:row>
    <x:row r="1704">
      <x:c r="A1704" s="20" t="n">
        <x:v>46195</x:v>
      </x:c>
      <x:c r="B1704" s="21" t="str">
        <x:v>PRPAY-2026-006790</x:v>
      </x:c>
      <x:c r="C1704" s="21" t="str">
        <x:v>PAYROLL DIRECT DEPOSIT - PRPAY-2026-006790</x:v>
      </x:c>
      <x:c r="D1704" s="21" t="str">
        <x:v>Payroll</x:v>
      </x:c>
      <x:c r="E1704" s="18" t="n">
        <x:v>1939.81</x:v>
      </x:c>
      <x:c r="F1704" s="18"/>
      <x:c r="G1704" s="18" t="n">
        <x:v>-1939.81</x:v>
      </x:c>
      <x:c r="H1704" s="18" t="n">
        <x:f>H1703+G1704</x:f>
        <x:v>10256109.279999997</x:v>
      </x:c>
    </x:row>
    <x:row r="1705">
      <x:c r="A1705" s="20" t="n">
        <x:v>46195</x:v>
      </x:c>
      <x:c r="B1705" s="21" t="str">
        <x:v>PRPAY-2026-006791</x:v>
      </x:c>
      <x:c r="C1705" s="21" t="str">
        <x:v>PAYROLL DIRECT DEPOSIT - PRPAY-2026-006791</x:v>
      </x:c>
      <x:c r="D1705" s="21" t="str">
        <x:v>Payroll</x:v>
      </x:c>
      <x:c r="E1705" s="18" t="n">
        <x:v>1785.98</x:v>
      </x:c>
      <x:c r="F1705" s="18"/>
      <x:c r="G1705" s="18" t="n">
        <x:v>-1785.98</x:v>
      </x:c>
      <x:c r="H1705" s="18" t="n">
        <x:f>H1704+G1705</x:f>
        <x:v>10254323.299999997</x:v>
      </x:c>
    </x:row>
    <x:row r="1706">
      <x:c r="A1706" s="20" t="n">
        <x:v>46195</x:v>
      </x:c>
      <x:c r="B1706" s="21" t="str">
        <x:v>PRPAY-2026-006792</x:v>
      </x:c>
      <x:c r="C1706" s="21" t="str">
        <x:v>PAYROLL DIRECT DEPOSIT - PRPAY-2026-006792</x:v>
      </x:c>
      <x:c r="D1706" s="21" t="str">
        <x:v>Payroll</x:v>
      </x:c>
      <x:c r="E1706" s="18" t="n">
        <x:v>1804.89</x:v>
      </x:c>
      <x:c r="F1706" s="18"/>
      <x:c r="G1706" s="18" t="n">
        <x:v>-1804.89</x:v>
      </x:c>
      <x:c r="H1706" s="18" t="n">
        <x:f>H1705+G1706</x:f>
        <x:v>10252518.409999996</x:v>
      </x:c>
    </x:row>
    <x:row r="1707">
      <x:c r="A1707" s="20" t="n">
        <x:v>46195</x:v>
      </x:c>
      <x:c r="B1707" s="21" t="str">
        <x:v>PRPAY-2026-006793</x:v>
      </x:c>
      <x:c r="C1707" s="21" t="str">
        <x:v>PAYROLL DIRECT DEPOSIT - PRPAY-2026-006793</x:v>
      </x:c>
      <x:c r="D1707" s="21" t="str">
        <x:v>Payroll</x:v>
      </x:c>
      <x:c r="E1707" s="18" t="n">
        <x:v>1873.84</x:v>
      </x:c>
      <x:c r="F1707" s="18"/>
      <x:c r="G1707" s="18" t="n">
        <x:v>-1873.84</x:v>
      </x:c>
      <x:c r="H1707" s="18" t="n">
        <x:f>H1706+G1707</x:f>
        <x:v>10250644.569999997</x:v>
      </x:c>
    </x:row>
    <x:row r="1708">
      <x:c r="A1708" s="20" t="n">
        <x:v>46195</x:v>
      </x:c>
      <x:c r="B1708" s="21" t="str">
        <x:v>PRPAY-2026-006794</x:v>
      </x:c>
      <x:c r="C1708" s="21" t="str">
        <x:v>PAYROLL DIRECT DEPOSIT - PRPAY-2026-006794</x:v>
      </x:c>
      <x:c r="D1708" s="21" t="str">
        <x:v>Payroll</x:v>
      </x:c>
      <x:c r="E1708" s="18" t="n">
        <x:v>1788.71</x:v>
      </x:c>
      <x:c r="F1708" s="18"/>
      <x:c r="G1708" s="18" t="n">
        <x:v>-1788.71</x:v>
      </x:c>
      <x:c r="H1708" s="18" t="n">
        <x:f>H1707+G1708</x:f>
        <x:v>10248855.859999996</x:v>
      </x:c>
    </x:row>
    <x:row r="1709">
      <x:c r="A1709" s="20" t="n">
        <x:v>46195</x:v>
      </x:c>
      <x:c r="B1709" s="21" t="str">
        <x:v>PRPAY-2026-006795</x:v>
      </x:c>
      <x:c r="C1709" s="21" t="str">
        <x:v>PAYROLL DIRECT DEPOSIT - PRPAY-2026-006795</x:v>
      </x:c>
      <x:c r="D1709" s="21" t="str">
        <x:v>Payroll</x:v>
      </x:c>
      <x:c r="E1709" s="18" t="n">
        <x:v>1825.07</x:v>
      </x:c>
      <x:c r="F1709" s="18"/>
      <x:c r="G1709" s="18" t="n">
        <x:v>-1825.07</x:v>
      </x:c>
      <x:c r="H1709" s="18" t="n">
        <x:f>H1708+G1709</x:f>
        <x:v>10247030.789999995</x:v>
      </x:c>
    </x:row>
    <x:row r="1710">
      <x:c r="A1710" s="20" t="n">
        <x:v>46195</x:v>
      </x:c>
      <x:c r="B1710" s="21" t="str">
        <x:v>PRPAY-2026-006796</x:v>
      </x:c>
      <x:c r="C1710" s="21" t="str">
        <x:v>PAYROLL DIRECT DEPOSIT - PRPAY-2026-006796</x:v>
      </x:c>
      <x:c r="D1710" s="21" t="str">
        <x:v>Payroll</x:v>
      </x:c>
      <x:c r="E1710" s="18" t="n">
        <x:v>1717.97</x:v>
      </x:c>
      <x:c r="F1710" s="18"/>
      <x:c r="G1710" s="18" t="n">
        <x:v>-1717.97</x:v>
      </x:c>
      <x:c r="H1710" s="18" t="n">
        <x:f>H1709+G1710</x:f>
        <x:v>10245312.819999995</x:v>
      </x:c>
    </x:row>
    <x:row r="1711">
      <x:c r="A1711" s="20" t="n">
        <x:v>46195</x:v>
      </x:c>
      <x:c r="B1711" s="21" t="str">
        <x:v>PRPAY-2026-006797</x:v>
      </x:c>
      <x:c r="C1711" s="21" t="str">
        <x:v>PAYROLL DIRECT DEPOSIT - PRPAY-2026-006797</x:v>
      </x:c>
      <x:c r="D1711" s="21" t="str">
        <x:v>Payroll</x:v>
      </x:c>
      <x:c r="E1711" s="18" t="n">
        <x:v>1380.66</x:v>
      </x:c>
      <x:c r="F1711" s="18"/>
      <x:c r="G1711" s="18" t="n">
        <x:v>-1380.66</x:v>
      </x:c>
      <x:c r="H1711" s="18" t="n">
        <x:f>H1710+G1711</x:f>
        <x:v>10243932.159999995</x:v>
      </x:c>
    </x:row>
    <x:row r="1712">
      <x:c r="A1712" s="20" t="n">
        <x:v>46195</x:v>
      </x:c>
      <x:c r="B1712" s="21" t="str">
        <x:v>PRPAY-2026-006798</x:v>
      </x:c>
      <x:c r="C1712" s="21" t="str">
        <x:v>PAYROLL DIRECT DEPOSIT - PRPAY-2026-006798</x:v>
      </x:c>
      <x:c r="D1712" s="21" t="str">
        <x:v>Payroll</x:v>
      </x:c>
      <x:c r="E1712" s="18" t="n">
        <x:v>1711.74</x:v>
      </x:c>
      <x:c r="F1712" s="18"/>
      <x:c r="G1712" s="18" t="n">
        <x:v>-1711.74</x:v>
      </x:c>
      <x:c r="H1712" s="18" t="n">
        <x:f>H1711+G1712</x:f>
        <x:v>10242220.419999994</x:v>
      </x:c>
    </x:row>
    <x:row r="1713">
      <x:c r="A1713" s="20" t="n">
        <x:v>46195</x:v>
      </x:c>
      <x:c r="B1713" s="21" t="str">
        <x:v>PRPAY-2026-006799</x:v>
      </x:c>
      <x:c r="C1713" s="21" t="str">
        <x:v>PAYROLL DIRECT DEPOSIT - PRPAY-2026-006799</x:v>
      </x:c>
      <x:c r="D1713" s="21" t="str">
        <x:v>Payroll</x:v>
      </x:c>
      <x:c r="E1713" s="18" t="n">
        <x:v>1696.08</x:v>
      </x:c>
      <x:c r="F1713" s="18"/>
      <x:c r="G1713" s="18" t="n">
        <x:v>-1696.08</x:v>
      </x:c>
      <x:c r="H1713" s="18" t="n">
        <x:f>H1712+G1713</x:f>
        <x:v>10240524.339999994</x:v>
      </x:c>
    </x:row>
    <x:row r="1714">
      <x:c r="A1714" s="20" t="n">
        <x:v>46195</x:v>
      </x:c>
      <x:c r="B1714" s="21" t="str">
        <x:v>PRPAY-2026-006800</x:v>
      </x:c>
      <x:c r="C1714" s="21" t="str">
        <x:v>PAYROLL DIRECT DEPOSIT - PRPAY-2026-006800</x:v>
      </x:c>
      <x:c r="D1714" s="21" t="str">
        <x:v>Payroll</x:v>
      </x:c>
      <x:c r="E1714" s="18" t="n">
        <x:v>1681.72</x:v>
      </x:c>
      <x:c r="F1714" s="18"/>
      <x:c r="G1714" s="18" t="n">
        <x:v>-1681.72</x:v>
      </x:c>
      <x:c r="H1714" s="18" t="n">
        <x:f>H1713+G1714</x:f>
        <x:v>10238842.619999994</x:v>
      </x:c>
    </x:row>
    <x:row r="1715">
      <x:c r="A1715" s="20" t="n">
        <x:v>46195</x:v>
      </x:c>
      <x:c r="B1715" s="21" t="str">
        <x:v>PRPAY-2026-006801</x:v>
      </x:c>
      <x:c r="C1715" s="21" t="str">
        <x:v>PAYROLL DIRECT DEPOSIT - PRPAY-2026-006801</x:v>
      </x:c>
      <x:c r="D1715" s="21" t="str">
        <x:v>Payroll</x:v>
      </x:c>
      <x:c r="E1715" s="18" t="n">
        <x:v>1704.14</x:v>
      </x:c>
      <x:c r="F1715" s="18"/>
      <x:c r="G1715" s="18" t="n">
        <x:v>-1704.14</x:v>
      </x:c>
      <x:c r="H1715" s="18" t="n">
        <x:f>H1714+G1715</x:f>
        <x:v>10237138.479999993</x:v>
      </x:c>
    </x:row>
    <x:row r="1716">
      <x:c r="A1716" s="20" t="n">
        <x:v>46195</x:v>
      </x:c>
      <x:c r="B1716" s="21" t="str">
        <x:v>PRPAY-2026-006802</x:v>
      </x:c>
      <x:c r="C1716" s="21" t="str">
        <x:v>PAYROLL DIRECT DEPOSIT - PRPAY-2026-006802</x:v>
      </x:c>
      <x:c r="D1716" s="21" t="str">
        <x:v>Payroll</x:v>
      </x:c>
      <x:c r="E1716" s="18" t="n">
        <x:v>1439.64</x:v>
      </x:c>
      <x:c r="F1716" s="18"/>
      <x:c r="G1716" s="18" t="n">
        <x:v>-1439.64</x:v>
      </x:c>
      <x:c r="H1716" s="18" t="n">
        <x:f>H1715+G1716</x:f>
        <x:v>10235698.839999992</x:v>
      </x:c>
    </x:row>
    <x:row r="1717">
      <x:c r="A1717" s="20" t="n">
        <x:v>46195</x:v>
      </x:c>
      <x:c r="B1717" s="21" t="str">
        <x:v>PRPAY-2026-006803</x:v>
      </x:c>
      <x:c r="C1717" s="21" t="str">
        <x:v>PAYROLL DIRECT DEPOSIT - PRPAY-2026-006803</x:v>
      </x:c>
      <x:c r="D1717" s="21" t="str">
        <x:v>Payroll</x:v>
      </x:c>
      <x:c r="E1717" s="18" t="n">
        <x:v>1807.5</x:v>
      </x:c>
      <x:c r="F1717" s="18"/>
      <x:c r="G1717" s="18" t="n">
        <x:v>-1807.5</x:v>
      </x:c>
      <x:c r="H1717" s="18" t="n">
        <x:f>H1716+G1717</x:f>
        <x:v>10233891.339999992</x:v>
      </x:c>
    </x:row>
    <x:row r="1718">
      <x:c r="A1718" s="20" t="n">
        <x:v>46195</x:v>
      </x:c>
      <x:c r="B1718" s="21" t="str">
        <x:v>PRPAY-2026-006804</x:v>
      </x:c>
      <x:c r="C1718" s="21" t="str">
        <x:v>PAYROLL DIRECT DEPOSIT - PRPAY-2026-006804</x:v>
      </x:c>
      <x:c r="D1718" s="21" t="str">
        <x:v>Payroll</x:v>
      </x:c>
      <x:c r="E1718" s="18" t="n">
        <x:v>1924.39</x:v>
      </x:c>
      <x:c r="F1718" s="18"/>
      <x:c r="G1718" s="18" t="n">
        <x:v>-1924.39</x:v>
      </x:c>
      <x:c r="H1718" s="18" t="n">
        <x:f>H1717+G1718</x:f>
        <x:v>10231966.949999992</x:v>
      </x:c>
    </x:row>
    <x:row r="1719">
      <x:c r="A1719" s="20" t="n">
        <x:v>46195</x:v>
      </x:c>
      <x:c r="B1719" s="21" t="str">
        <x:v>PRPAY-2026-006805</x:v>
      </x:c>
      <x:c r="C1719" s="21" t="str">
        <x:v>PAYROLL DIRECT DEPOSIT - PRPAY-2026-006805</x:v>
      </x:c>
      <x:c r="D1719" s="21" t="str">
        <x:v>Payroll</x:v>
      </x:c>
      <x:c r="E1719" s="18" t="n">
        <x:v>1917.21</x:v>
      </x:c>
      <x:c r="F1719" s="18"/>
      <x:c r="G1719" s="18" t="n">
        <x:v>-1917.21</x:v>
      </x:c>
      <x:c r="H1719" s="18" t="n">
        <x:f>H1718+G1719</x:f>
        <x:v>10230049.73999999</x:v>
      </x:c>
    </x:row>
    <x:row r="1720">
      <x:c r="A1720" s="20" t="n">
        <x:v>46195</x:v>
      </x:c>
      <x:c r="B1720" s="21" t="str">
        <x:v>PRPAY-2026-006806</x:v>
      </x:c>
      <x:c r="C1720" s="21" t="str">
        <x:v>PAYROLL DIRECT DEPOSIT - PRPAY-2026-006806</x:v>
      </x:c>
      <x:c r="D1720" s="21" t="str">
        <x:v>Payroll</x:v>
      </x:c>
      <x:c r="E1720" s="18" t="n">
        <x:v>1753.27</x:v>
      </x:c>
      <x:c r="F1720" s="18"/>
      <x:c r="G1720" s="18" t="n">
        <x:v>-1753.27</x:v>
      </x:c>
      <x:c r="H1720" s="18" t="n">
        <x:f>H1719+G1720</x:f>
        <x:v>10228296.469999991</x:v>
      </x:c>
    </x:row>
    <x:row r="1721">
      <x:c r="A1721" s="20" t="n">
        <x:v>46195</x:v>
      </x:c>
      <x:c r="B1721" s="21" t="str">
        <x:v>PRPAY-2026-006807</x:v>
      </x:c>
      <x:c r="C1721" s="21" t="str">
        <x:v>PAYROLL DIRECT DEPOSIT - PRPAY-2026-006807</x:v>
      </x:c>
      <x:c r="D1721" s="21" t="str">
        <x:v>Payroll</x:v>
      </x:c>
      <x:c r="E1721" s="18" t="n">
        <x:v>1756</x:v>
      </x:c>
      <x:c r="F1721" s="18"/>
      <x:c r="G1721" s="18" t="n">
        <x:v>-1756</x:v>
      </x:c>
      <x:c r="H1721" s="18" t="n">
        <x:f>H1720+G1721</x:f>
        <x:v>10226540.469999991</x:v>
      </x:c>
    </x:row>
    <x:row r="1722">
      <x:c r="A1722" s="20" t="n">
        <x:v>46195</x:v>
      </x:c>
      <x:c r="B1722" s="21" t="str">
        <x:v>RF00000179</x:v>
      </x:c>
      <x:c r="C1722" s="21" t="str">
        <x:v>CUSTOMER REFUND - RF-2026-000179</x:v>
      </x:c>
      <x:c r="D1722" s="21" t="str">
        <x:v>Customer refund</x:v>
      </x:c>
      <x:c r="E1722" s="18" t="n">
        <x:v>441.46</x:v>
      </x:c>
      <x:c r="F1722" s="18"/>
      <x:c r="G1722" s="18" t="n">
        <x:v>-441.46</x:v>
      </x:c>
      <x:c r="H1722" s="18" t="n">
        <x:f>H1721+G1722</x:f>
        <x:v>10226099.00999999</x:v>
      </x:c>
    </x:row>
    <x:row r="1723">
      <x:c r="A1723" s="20" t="n">
        <x:v>46196</x:v>
      </x:c>
      <x:c r="B1723" s="21" t="str">
        <x:v>CHK0027180</x:v>
      </x:c>
      <x:c r="C1723" s="21" t="str">
        <x:v>CHECK PAYMENT - Villarreal, Mcdonald and Scott - DP-2026-027180</x:v>
      </x:c>
      <x:c r="D1723" s="21" t="str">
        <x:v>Supplier payment</x:v>
      </x:c>
      <x:c r="E1723" s="18" t="n">
        <x:v>203.47</x:v>
      </x:c>
      <x:c r="F1723" s="18"/>
      <x:c r="G1723" s="18" t="n">
        <x:v>-203.47</x:v>
      </x:c>
      <x:c r="H1723" s="18" t="n">
        <x:f>H1722+G1723</x:f>
        <x:v>10225895.53999999</x:v>
      </x:c>
    </x:row>
    <x:row r="1724">
      <x:c r="A1724" s="20" t="n">
        <x:v>46196</x:v>
      </x:c>
      <x:c r="B1724" s="21" t="str">
        <x:v>CHK0028250</x:v>
      </x:c>
      <x:c r="C1724" s="21" t="str">
        <x:v>CHECK PAYMENT - Cross, Alexander and Romero - DP-2026-028250</x:v>
      </x:c>
      <x:c r="D1724" s="21" t="str">
        <x:v>Supplier payment</x:v>
      </x:c>
      <x:c r="E1724" s="18" t="n">
        <x:v>56.79</x:v>
      </x:c>
      <x:c r="F1724" s="18"/>
      <x:c r="G1724" s="18" t="n">
        <x:v>-56.79</x:v>
      </x:c>
      <x:c r="H1724" s="18" t="n">
        <x:f>H1723+G1724</x:f>
        <x:v>10225838.74999999</x:v>
      </x:c>
    </x:row>
    <x:row r="1725">
      <x:c r="A1725" s="20" t="n">
        <x:v>46196</x:v>
      </x:c>
      <x:c r="B1725" s="21" t="str">
        <x:v>CHK0028300</x:v>
      </x:c>
      <x:c r="C1725" s="21" t="str">
        <x:v>CHECK PAYMENT - Velasquez-Baxter - DP-2026-028300</x:v>
      </x:c>
      <x:c r="D1725" s="21" t="str">
        <x:v>Supplier payment</x:v>
      </x:c>
      <x:c r="E1725" s="18" t="n">
        <x:v>479.95</x:v>
      </x:c>
      <x:c r="F1725" s="18"/>
      <x:c r="G1725" s="18" t="n">
        <x:v>-479.95</x:v>
      </x:c>
      <x:c r="H1725" s="18" t="n">
        <x:f>H1724+G1725</x:f>
        <x:v>10225358.799999991</x:v>
      </x:c>
    </x:row>
    <x:row r="1726">
      <x:c r="A1726" s="20" t="n">
        <x:v>46196</x:v>
      </x:c>
      <x:c r="B1726" s="21" t="str">
        <x:v>CHK0028331</x:v>
      </x:c>
      <x:c r="C1726" s="21" t="str">
        <x:v>CHECK PAYMENT - Harris and Sons - DP-2026-028331</x:v>
      </x:c>
      <x:c r="D1726" s="21" t="str">
        <x:v>Supplier payment</x:v>
      </x:c>
      <x:c r="E1726" s="18" t="n">
        <x:v>420.24</x:v>
      </x:c>
      <x:c r="F1726" s="18"/>
      <x:c r="G1726" s="18" t="n">
        <x:v>-420.24</x:v>
      </x:c>
      <x:c r="H1726" s="18" t="n">
        <x:f>H1725+G1726</x:f>
        <x:v>10224938.559999991</x:v>
      </x:c>
    </x:row>
    <x:row r="1727">
      <x:c r="A1727" s="20" t="n">
        <x:v>46196</x:v>
      </x:c>
      <x:c r="B1727" s="21" t="str">
        <x:v>CHK0028336</x:v>
      </x:c>
      <x:c r="C1727" s="21" t="str">
        <x:v>CHECK PAYMENT - Lucas, Green and Richardson - DP-2026-028336</x:v>
      </x:c>
      <x:c r="D1727" s="21" t="str">
        <x:v>Supplier payment</x:v>
      </x:c>
      <x:c r="E1727" s="18" t="n">
        <x:v>1524.91</x:v>
      </x:c>
      <x:c r="F1727" s="18"/>
      <x:c r="G1727" s="18" t="n">
        <x:v>-1524.91</x:v>
      </x:c>
      <x:c r="H1727" s="18" t="n">
        <x:f>H1726+G1727</x:f>
        <x:v>10223413.649999991</x:v>
      </x:c>
    </x:row>
    <x:row r="1728">
      <x:c r="A1728" s="20" t="n">
        <x:v>46196</x:v>
      </x:c>
      <x:c r="B1728" s="21" t="str">
        <x:v>CHK0028383</x:v>
      </x:c>
      <x:c r="C1728" s="21" t="str">
        <x:v>CHECK PAYMENT - Harris and Sons - DP-2026-028383</x:v>
      </x:c>
      <x:c r="D1728" s="21" t="str">
        <x:v>Supplier payment</x:v>
      </x:c>
      <x:c r="E1728" s="18" t="n">
        <x:v>1295.77</x:v>
      </x:c>
      <x:c r="F1728" s="18"/>
      <x:c r="G1728" s="18" t="n">
        <x:v>-1295.77</x:v>
      </x:c>
      <x:c r="H1728" s="18" t="n">
        <x:f>H1727+G1728</x:f>
        <x:v>10222117.879999992</x:v>
      </x:c>
    </x:row>
    <x:row r="1729">
      <x:c r="A1729" s="20" t="n">
        <x:v>46196</x:v>
      </x:c>
      <x:c r="B1729" s="21" t="str">
        <x:v>CHK0028444</x:v>
      </x:c>
      <x:c r="C1729" s="21" t="str">
        <x:v>CHECK PAYMENT - Collins-Johnson - DP-2026-028444</x:v>
      </x:c>
      <x:c r="D1729" s="21" t="str">
        <x:v>Supplier payment</x:v>
      </x:c>
      <x:c r="E1729" s="18" t="n">
        <x:v>569.04</x:v>
      </x:c>
      <x:c r="F1729" s="18"/>
      <x:c r="G1729" s="18" t="n">
        <x:v>-569.04</x:v>
      </x:c>
      <x:c r="H1729" s="18" t="n">
        <x:f>H1728+G1729</x:f>
        <x:v>10221548.839999992</x:v>
      </x:c>
    </x:row>
    <x:row r="1730">
      <x:c r="A1730" s="20" t="n">
        <x:v>46196</x:v>
      </x:c>
      <x:c r="B1730" s="21" t="str">
        <x:v>CHK0028469</x:v>
      </x:c>
      <x:c r="C1730" s="21" t="str">
        <x:v>CHECK PAYMENT - Lindsey and Sons - DP-2026-028469</x:v>
      </x:c>
      <x:c r="D1730" s="21" t="str">
        <x:v>Supplier payment</x:v>
      </x:c>
      <x:c r="E1730" s="18" t="n">
        <x:v>120.57</x:v>
      </x:c>
      <x:c r="F1730" s="18"/>
      <x:c r="G1730" s="18" t="n">
        <x:v>-120.57</x:v>
      </x:c>
      <x:c r="H1730" s="18" t="n">
        <x:f>H1729+G1730</x:f>
        <x:v>10221428.269999992</x:v>
      </x:c>
    </x:row>
    <x:row r="1731">
      <x:c r="A1731" s="20" t="n">
        <x:v>46196</x:v>
      </x:c>
      <x:c r="B1731" s="21" t="str">
        <x:v>CHK0028535</x:v>
      </x:c>
      <x:c r="C1731" s="21" t="str">
        <x:v>CHECK PAYMENT - Brooks, Johnson and Olson - DP-2026-028535</x:v>
      </x:c>
      <x:c r="D1731" s="21" t="str">
        <x:v>Supplier payment</x:v>
      </x:c>
      <x:c r="E1731" s="18" t="n">
        <x:v>6.96</x:v>
      </x:c>
      <x:c r="F1731" s="18"/>
      <x:c r="G1731" s="18" t="n">
        <x:v>-6.96</x:v>
      </x:c>
      <x:c r="H1731" s="18" t="n">
        <x:f>H1730+G1731</x:f>
        <x:v>10221421.309999991</x:v>
      </x:c>
    </x:row>
    <x:row r="1732">
      <x:c r="A1732" s="20" t="n">
        <x:v>46196</x:v>
      </x:c>
      <x:c r="B1732" s="21" t="str">
        <x:v>DP-2026-027176</x:v>
      </x:c>
      <x:c r="C1732" s="21" t="str">
        <x:v>ACH PAYMENT - Duran, Mccarthy and Myers - DP-2026-027176</x:v>
      </x:c>
      <x:c r="D1732" s="21" t="str">
        <x:v>Supplier payment</x:v>
      </x:c>
      <x:c r="E1732" s="18" t="n">
        <x:v>1861.31</x:v>
      </x:c>
      <x:c r="F1732" s="18"/>
      <x:c r="G1732" s="18" t="n">
        <x:v>-1861.31</x:v>
      </x:c>
      <x:c r="H1732" s="18" t="n">
        <x:f>H1731+G1732</x:f>
        <x:v>10219559.99999999</x:v>
      </x:c>
    </x:row>
    <x:row r="1733">
      <x:c r="A1733" s="20" t="n">
        <x:v>46196</x:v>
      </x:c>
      <x:c r="B1733" s="21" t="str">
        <x:v>DP-2026-027181</x:v>
      </x:c>
      <x:c r="C1733" s="21" t="str">
        <x:v>ACH PAYMENT - Hester Ltd - DP-2026-027181</x:v>
      </x:c>
      <x:c r="D1733" s="21" t="str">
        <x:v>Supplier payment</x:v>
      </x:c>
      <x:c r="E1733" s="18" t="n">
        <x:v>1.51</x:v>
      </x:c>
      <x:c r="F1733" s="18"/>
      <x:c r="G1733" s="18" t="n">
        <x:v>-1.51</x:v>
      </x:c>
      <x:c r="H1733" s="18" t="n">
        <x:f>H1732+G1733</x:f>
        <x:v>10219558.48999999</x:v>
      </x:c>
    </x:row>
    <x:row r="1734">
      <x:c r="A1734" s="20" t="n">
        <x:v>46196</x:v>
      </x:c>
      <x:c r="B1734" s="21" t="str">
        <x:v>DP-2026-027184</x:v>
      </x:c>
      <x:c r="C1734" s="21" t="str">
        <x:v>ACH PAYMENT - Boyd and Sons - DP-2026-027184</x:v>
      </x:c>
      <x:c r="D1734" s="21" t="str">
        <x:v>Supplier payment</x:v>
      </x:c>
      <x:c r="E1734" s="18" t="n">
        <x:v>363.16</x:v>
      </x:c>
      <x:c r="F1734" s="18"/>
      <x:c r="G1734" s="18" t="n">
        <x:v>-363.16</x:v>
      </x:c>
      <x:c r="H1734" s="18" t="n">
        <x:f>H1733+G1734</x:f>
        <x:v>10219195.32999999</x:v>
      </x:c>
    </x:row>
    <x:row r="1735">
      <x:c r="A1735" s="20" t="n">
        <x:v>46196</x:v>
      </x:c>
      <x:c r="B1735" s="21" t="str">
        <x:v>DP-2026-027191</x:v>
      </x:c>
      <x:c r="C1735" s="21" t="str">
        <x:v>ACH PAYMENT - Hernandez, Melendez and Mcdowell - DP-2026-027191</x:v>
      </x:c>
      <x:c r="D1735" s="21" t="str">
        <x:v>Supplier payment</x:v>
      </x:c>
      <x:c r="E1735" s="18" t="n">
        <x:v>125.48</x:v>
      </x:c>
      <x:c r="F1735" s="18"/>
      <x:c r="G1735" s="18" t="n">
        <x:v>-125.48</x:v>
      </x:c>
      <x:c r="H1735" s="18" t="n">
        <x:f>H1734+G1735</x:f>
        <x:v>10219069.84999999</x:v>
      </x:c>
    </x:row>
    <x:row r="1736">
      <x:c r="A1736" s="20" t="n">
        <x:v>46196</x:v>
      </x:c>
      <x:c r="B1736" s="21" t="str">
        <x:v>DP-2026-028106</x:v>
      </x:c>
      <x:c r="C1736" s="21" t="str">
        <x:v>ACH PAYMENT - Harris, Taylor and Perkins - DP-2026-028106</x:v>
      </x:c>
      <x:c r="D1736" s="21" t="str">
        <x:v>Supplier payment</x:v>
      </x:c>
      <x:c r="E1736" s="18" t="n">
        <x:v>2231.23</x:v>
      </x:c>
      <x:c r="F1736" s="18"/>
      <x:c r="G1736" s="18" t="n">
        <x:v>-2231.23</x:v>
      </x:c>
      <x:c r="H1736" s="18" t="n">
        <x:f>H1735+G1736</x:f>
        <x:v>10216838.61999999</x:v>
      </x:c>
    </x:row>
    <x:row r="1737">
      <x:c r="A1737" s="20" t="n">
        <x:v>46196</x:v>
      </x:c>
      <x:c r="B1737" s="21" t="str">
        <x:v>DP-2026-028159</x:v>
      </x:c>
      <x:c r="C1737" s="21" t="str">
        <x:v>ACH PAYMENT - Davis-Grant - DP-2026-028159</x:v>
      </x:c>
      <x:c r="D1737" s="21" t="str">
        <x:v>Supplier payment</x:v>
      </x:c>
      <x:c r="E1737" s="18" t="n">
        <x:v>0.96</x:v>
      </x:c>
      <x:c r="F1737" s="18"/>
      <x:c r="G1737" s="18" t="n">
        <x:v>-0.96</x:v>
      </x:c>
      <x:c r="H1737" s="18" t="n">
        <x:f>H1736+G1737</x:f>
        <x:v>10216837.659999989</x:v>
      </x:c>
    </x:row>
    <x:row r="1738">
      <x:c r="A1738" s="20" t="n">
        <x:v>46196</x:v>
      </x:c>
      <x:c r="B1738" s="21" t="str">
        <x:v>DP-2026-028197</x:v>
      </x:c>
      <x:c r="C1738" s="21" t="str">
        <x:v>ACH PAYMENT - Fuller LLC - DP-2026-028197</x:v>
      </x:c>
      <x:c r="D1738" s="21" t="str">
        <x:v>Supplier payment</x:v>
      </x:c>
      <x:c r="E1738" s="18" t="n">
        <x:v>636.32</x:v>
      </x:c>
      <x:c r="F1738" s="18"/>
      <x:c r="G1738" s="18" t="n">
        <x:v>-636.32</x:v>
      </x:c>
      <x:c r="H1738" s="18" t="n">
        <x:f>H1737+G1738</x:f>
        <x:v>10216201.339999989</x:v>
      </x:c>
    </x:row>
    <x:row r="1739">
      <x:c r="A1739" s="20" t="n">
        <x:v>46196</x:v>
      </x:c>
      <x:c r="B1739" s="21" t="str">
        <x:v>DP-2026-028202</x:v>
      </x:c>
      <x:c r="C1739" s="21" t="str">
        <x:v>ACH PAYMENT - Harris, Taylor and Perkins - DP-2026-028202</x:v>
      </x:c>
      <x:c r="D1739" s="21" t="str">
        <x:v>Supplier payment</x:v>
      </x:c>
      <x:c r="E1739" s="18" t="n">
        <x:v>1430.88</x:v>
      </x:c>
      <x:c r="F1739" s="18"/>
      <x:c r="G1739" s="18" t="n">
        <x:v>-1430.88</x:v>
      </x:c>
      <x:c r="H1739" s="18" t="n">
        <x:f>H1738+G1739</x:f>
        <x:v>10214770.459999988</x:v>
      </x:c>
    </x:row>
    <x:row r="1740">
      <x:c r="A1740" s="20" t="n">
        <x:v>46196</x:v>
      </x:c>
      <x:c r="B1740" s="21" t="str">
        <x:v>DP-2026-028231</x:v>
      </x:c>
      <x:c r="C1740" s="21" t="str">
        <x:v>ACH PAYMENT - Kaufman-Williams - DP-2026-028231</x:v>
      </x:c>
      <x:c r="D1740" s="21" t="str">
        <x:v>Supplier payment</x:v>
      </x:c>
      <x:c r="E1740" s="18" t="n">
        <x:v>430.94</x:v>
      </x:c>
      <x:c r="F1740" s="18"/>
      <x:c r="G1740" s="18" t="n">
        <x:v>-430.94</x:v>
      </x:c>
      <x:c r="H1740" s="18" t="n">
        <x:f>H1739+G1740</x:f>
        <x:v>10214339.519999988</x:v>
      </x:c>
    </x:row>
    <x:row r="1741">
      <x:c r="A1741" s="20" t="n">
        <x:v>46196</x:v>
      </x:c>
      <x:c r="B1741" s="21" t="str">
        <x:v>DP-2026-028263</x:v>
      </x:c>
      <x:c r="C1741" s="21" t="str">
        <x:v>ACH PAYMENT - Velasquez-Baxter - DP-2026-028263</x:v>
      </x:c>
      <x:c r="D1741" s="21" t="str">
        <x:v>Supplier payment</x:v>
      </x:c>
      <x:c r="E1741" s="18" t="n">
        <x:v>697.59</x:v>
      </x:c>
      <x:c r="F1741" s="18"/>
      <x:c r="G1741" s="18" t="n">
        <x:v>-697.59</x:v>
      </x:c>
      <x:c r="H1741" s="18" t="n">
        <x:f>H1740+G1741</x:f>
        <x:v>10213641.929999989</x:v>
      </x:c>
    </x:row>
    <x:row r="1742">
      <x:c r="A1742" s="20" t="n">
        <x:v>46196</x:v>
      </x:c>
      <x:c r="B1742" s="21" t="str">
        <x:v>DP-2026-028279</x:v>
      </x:c>
      <x:c r="C1742" s="21" t="str">
        <x:v>ACH PAYMENT - Lindsey and Sons - DP-2026-028279</x:v>
      </x:c>
      <x:c r="D1742" s="21" t="str">
        <x:v>Supplier payment</x:v>
      </x:c>
      <x:c r="E1742" s="18" t="n">
        <x:v>1202.84</x:v>
      </x:c>
      <x:c r="F1742" s="18"/>
      <x:c r="G1742" s="18" t="n">
        <x:v>-1202.84</x:v>
      </x:c>
      <x:c r="H1742" s="18" t="n">
        <x:f>H1741+G1742</x:f>
        <x:v>10212439.089999989</x:v>
      </x:c>
    </x:row>
    <x:row r="1743">
      <x:c r="A1743" s="20" t="n">
        <x:v>46196</x:v>
      </x:c>
      <x:c r="B1743" s="21" t="str">
        <x:v>DP-2026-028293</x:v>
      </x:c>
      <x:c r="C1743" s="21" t="str">
        <x:v>ACH PAYMENT - Hester Ltd - DP-2026-028293</x:v>
      </x:c>
      <x:c r="D1743" s="21" t="str">
        <x:v>Supplier payment</x:v>
      </x:c>
      <x:c r="E1743" s="18" t="n">
        <x:v>729.01</x:v>
      </x:c>
      <x:c r="F1743" s="18"/>
      <x:c r="G1743" s="18" t="n">
        <x:v>-729.01</x:v>
      </x:c>
      <x:c r="H1743" s="18" t="n">
        <x:f>H1742+G1743</x:f>
        <x:v>10211710.079999989</x:v>
      </x:c>
    </x:row>
    <x:row r="1744">
      <x:c r="A1744" s="20" t="n">
        <x:v>46196</x:v>
      </x:c>
      <x:c r="B1744" s="21" t="str">
        <x:v>DP-2026-028301</x:v>
      </x:c>
      <x:c r="C1744" s="21" t="str">
        <x:v>ACH PAYMENT - Sanford LLC - DP-2026-028301</x:v>
      </x:c>
      <x:c r="D1744" s="21" t="str">
        <x:v>Supplier payment</x:v>
      </x:c>
      <x:c r="E1744" s="18" t="n">
        <x:v>891.19</x:v>
      </x:c>
      <x:c r="F1744" s="18"/>
      <x:c r="G1744" s="18" t="n">
        <x:v>-891.19</x:v>
      </x:c>
      <x:c r="H1744" s="18" t="n">
        <x:f>H1743+G1744</x:f>
        <x:v>10210818.88999999</x:v>
      </x:c>
    </x:row>
    <x:row r="1745">
      <x:c r="A1745" s="20" t="n">
        <x:v>46196</x:v>
      </x:c>
      <x:c r="B1745" s="21" t="str">
        <x:v>DP-2026-028369</x:v>
      </x:c>
      <x:c r="C1745" s="21" t="str">
        <x:v>ACH PAYMENT - Green and Sons - DP-2026-028369</x:v>
      </x:c>
      <x:c r="D1745" s="21" t="str">
        <x:v>Supplier payment</x:v>
      </x:c>
      <x:c r="E1745" s="18" t="n">
        <x:v>489.72</x:v>
      </x:c>
      <x:c r="F1745" s="18"/>
      <x:c r="G1745" s="18" t="n">
        <x:v>-489.72</x:v>
      </x:c>
      <x:c r="H1745" s="18" t="n">
        <x:f>H1744+G1745</x:f>
        <x:v>10210329.169999989</x:v>
      </x:c>
    </x:row>
    <x:row r="1746">
      <x:c r="A1746" s="20" t="n">
        <x:v>46196</x:v>
      </x:c>
      <x:c r="B1746" s="21" t="str">
        <x:v>DP-2026-028377</x:v>
      </x:c>
      <x:c r="C1746" s="21" t="str">
        <x:v>ACH PAYMENT - Bell, Pruitt and David - DP-2026-028377</x:v>
      </x:c>
      <x:c r="D1746" s="21" t="str">
        <x:v>Supplier payment</x:v>
      </x:c>
      <x:c r="E1746" s="18" t="n">
        <x:v>932.99</x:v>
      </x:c>
      <x:c r="F1746" s="18"/>
      <x:c r="G1746" s="18" t="n">
        <x:v>-932.99</x:v>
      </x:c>
      <x:c r="H1746" s="18" t="n">
        <x:f>H1745+G1746</x:f>
        <x:v>10209396.179999989</x:v>
      </x:c>
    </x:row>
    <x:row r="1747">
      <x:c r="A1747" s="20" t="n">
        <x:v>46196</x:v>
      </x:c>
      <x:c r="B1747" s="21" t="str">
        <x:v>DP-2026-028402</x:v>
      </x:c>
      <x:c r="C1747" s="21" t="str">
        <x:v>ACH PAYMENT - Keith PLC - DP-2026-028402</x:v>
      </x:c>
      <x:c r="D1747" s="21" t="str">
        <x:v>Supplier payment</x:v>
      </x:c>
      <x:c r="E1747" s="18" t="n">
        <x:v>836.69</x:v>
      </x:c>
      <x:c r="F1747" s="18"/>
      <x:c r="G1747" s="18" t="n">
        <x:v>-836.69</x:v>
      </x:c>
      <x:c r="H1747" s="18" t="n">
        <x:f>H1746+G1747</x:f>
        <x:v>10208559.489999989</x:v>
      </x:c>
    </x:row>
    <x:row r="1748">
      <x:c r="A1748" s="20" t="n">
        <x:v>46196</x:v>
      </x:c>
      <x:c r="B1748" s="21" t="str">
        <x:v>DP-2026-028405</x:v>
      </x:c>
      <x:c r="C1748" s="21" t="str">
        <x:v>ACH PAYMENT - Garcia Group - DP-2026-028405</x:v>
      </x:c>
      <x:c r="D1748" s="21" t="str">
        <x:v>Supplier payment</x:v>
      </x:c>
      <x:c r="E1748" s="18" t="n">
        <x:v>250.08</x:v>
      </x:c>
      <x:c r="F1748" s="18"/>
      <x:c r="G1748" s="18" t="n">
        <x:v>-250.08</x:v>
      </x:c>
      <x:c r="H1748" s="18" t="n">
        <x:f>H1747+G1748</x:f>
        <x:v>10208309.409999989</x:v>
      </x:c>
    </x:row>
    <x:row r="1749">
      <x:c r="A1749" s="20" t="n">
        <x:v>46196</x:v>
      </x:c>
      <x:c r="B1749" s="21" t="str">
        <x:v>DP-2026-028467</x:v>
      </x:c>
      <x:c r="C1749" s="21" t="str">
        <x:v>ACH PAYMENT - Hoffman LLC - DP-2026-028467</x:v>
      </x:c>
      <x:c r="D1749" s="21" t="str">
        <x:v>Supplier payment</x:v>
      </x:c>
      <x:c r="E1749" s="18" t="n">
        <x:v>154.25</x:v>
      </x:c>
      <x:c r="F1749" s="18"/>
      <x:c r="G1749" s="18" t="n">
        <x:v>-154.25</x:v>
      </x:c>
      <x:c r="H1749" s="18" t="n">
        <x:f>H1748+G1749</x:f>
        <x:v>10208155.159999989</x:v>
      </x:c>
    </x:row>
    <x:row r="1750">
      <x:c r="A1750" s="20" t="n">
        <x:v>46196</x:v>
      </x:c>
      <x:c r="B1750" s="21" t="str">
        <x:v>DP-2026-028515</x:v>
      </x:c>
      <x:c r="C1750" s="21" t="str">
        <x:v>ACH PAYMENT - King Ltd - DP-2026-028515</x:v>
      </x:c>
      <x:c r="D1750" s="21" t="str">
        <x:v>Supplier payment</x:v>
      </x:c>
      <x:c r="E1750" s="18" t="n">
        <x:v>163</x:v>
      </x:c>
      <x:c r="F1750" s="18"/>
      <x:c r="G1750" s="18" t="n">
        <x:v>-163</x:v>
      </x:c>
      <x:c r="H1750" s="18" t="n">
        <x:f>H1749+G1750</x:f>
        <x:v>10207992.159999989</x:v>
      </x:c>
    </x:row>
    <x:row r="1751">
      <x:c r="A1751" s="20" t="n">
        <x:v>46197</x:v>
      </x:c>
      <x:c r="B1751" s="21" t="str">
        <x:v>AR00006001</x:v>
      </x:c>
      <x:c r="C1751" s="21" t="str">
        <x:v>CUSTOMER DEPOSIT - Koch-Ali - CR-2026-006001</x:v>
      </x:c>
      <x:c r="D1751" s="21" t="str">
        <x:v>Customer deposit</x:v>
      </x:c>
      <x:c r="E1751" s="18"/>
      <x:c r="F1751" s="18" t="n">
        <x:v>4080.03</x:v>
      </x:c>
      <x:c r="G1751" s="18" t="n">
        <x:v>4080.03</x:v>
      </x:c>
      <x:c r="H1751" s="18" t="n">
        <x:f>H1750+G1751</x:f>
        <x:v>10212072.189999988</x:v>
      </x:c>
    </x:row>
    <x:row r="1752">
      <x:c r="A1752" s="20" t="n">
        <x:v>46197</x:v>
      </x:c>
      <x:c r="B1752" s="21" t="str">
        <x:v>AR00006014</x:v>
      </x:c>
      <x:c r="C1752" s="21" t="str">
        <x:v>CUSTOMER DEPOSIT - Harmon-Meyers - CR-2026-006014</x:v>
      </x:c>
      <x:c r="D1752" s="21" t="str">
        <x:v>Customer deposit</x:v>
      </x:c>
      <x:c r="E1752" s="18"/>
      <x:c r="F1752" s="18" t="n">
        <x:v>11343.51</x:v>
      </x:c>
      <x:c r="G1752" s="18" t="n">
        <x:v>11343.51</x:v>
      </x:c>
      <x:c r="H1752" s="18" t="n">
        <x:f>H1751+G1752</x:f>
        <x:v>10223415.699999988</x:v>
      </x:c>
    </x:row>
    <x:row r="1753">
      <x:c r="A1753" s="20" t="n">
        <x:v>46197</x:v>
      </x:c>
      <x:c r="B1753" s="21" t="str">
        <x:v>AR00006048</x:v>
      </x:c>
      <x:c r="C1753" s="21" t="str">
        <x:v>CUSTOMER DEPOSIT - Patel, Nash and Hoffman - CR-2026-006048</x:v>
      </x:c>
      <x:c r="D1753" s="21" t="str">
        <x:v>Customer deposit</x:v>
      </x:c>
      <x:c r="E1753" s="18"/>
      <x:c r="F1753" s="18" t="n">
        <x:v>34534.94</x:v>
      </x:c>
      <x:c r="G1753" s="18" t="n">
        <x:v>34534.94</x:v>
      </x:c>
      <x:c r="H1753" s="18" t="n">
        <x:f>H1752+G1753</x:f>
        <x:v>10257950.639999988</x:v>
      </x:c>
    </x:row>
    <x:row r="1754">
      <x:c r="A1754" s="20" t="n">
        <x:v>46197</x:v>
      </x:c>
      <x:c r="B1754" s="21" t="str">
        <x:v>AR00006052</x:v>
      </x:c>
      <x:c r="C1754" s="21" t="str">
        <x:v>CUSTOMER DEPOSIT - Henry-Garcia - CR-2026-006052</x:v>
      </x:c>
      <x:c r="D1754" s="21" t="str">
        <x:v>Customer deposit</x:v>
      </x:c>
      <x:c r="E1754" s="18"/>
      <x:c r="F1754" s="18" t="n">
        <x:v>11834.99</x:v>
      </x:c>
      <x:c r="G1754" s="18" t="n">
        <x:v>11834.99</x:v>
      </x:c>
      <x:c r="H1754" s="18" t="n">
        <x:f>H1753+G1754</x:f>
        <x:v>10269785.629999988</x:v>
      </x:c>
    </x:row>
    <x:row r="1755">
      <x:c r="A1755" s="20" t="n">
        <x:v>46197</x:v>
      </x:c>
      <x:c r="B1755" s="21" t="str">
        <x:v>CHK0027174</x:v>
      </x:c>
      <x:c r="C1755" s="21" t="str">
        <x:v>CHECK PAYMENT - Morris, Anderson and Chang - DP-2026-027174</x:v>
      </x:c>
      <x:c r="D1755" s="21" t="str">
        <x:v>Supplier payment</x:v>
      </x:c>
      <x:c r="E1755" s="18" t="n">
        <x:v>430.42</x:v>
      </x:c>
      <x:c r="F1755" s="18"/>
      <x:c r="G1755" s="18" t="n">
        <x:v>-430.42</x:v>
      </x:c>
      <x:c r="H1755" s="18" t="n">
        <x:f>H1754+G1755</x:f>
        <x:v>10269355.209999988</x:v>
      </x:c>
    </x:row>
    <x:row r="1756">
      <x:c r="A1756" s="20" t="n">
        <x:v>46197</x:v>
      </x:c>
      <x:c r="B1756" s="21" t="str">
        <x:v>CHK0027188</x:v>
      </x:c>
      <x:c r="C1756" s="21" t="str">
        <x:v>CHECK PAYMENT - Collins-Johnson - DP-2026-027188</x:v>
      </x:c>
      <x:c r="D1756" s="21" t="str">
        <x:v>Supplier payment</x:v>
      </x:c>
      <x:c r="E1756" s="18" t="n">
        <x:v>149.68</x:v>
      </x:c>
      <x:c r="F1756" s="18"/>
      <x:c r="G1756" s="18" t="n">
        <x:v>-149.68</x:v>
      </x:c>
      <x:c r="H1756" s="18" t="n">
        <x:f>H1755+G1756</x:f>
        <x:v>10269205.529999988</x:v>
      </x:c>
    </x:row>
    <x:row r="1757">
      <x:c r="A1757" s="20" t="n">
        <x:v>46197</x:v>
      </x:c>
      <x:c r="B1757" s="21" t="str">
        <x:v>CHK0028183</x:v>
      </x:c>
      <x:c r="C1757" s="21" t="str">
        <x:v>CHECK PAYMENT - Hester Ltd - DP-2026-028183</x:v>
      </x:c>
      <x:c r="D1757" s="21" t="str">
        <x:v>Supplier payment</x:v>
      </x:c>
      <x:c r="E1757" s="18" t="n">
        <x:v>1755.51</x:v>
      </x:c>
      <x:c r="F1757" s="18"/>
      <x:c r="G1757" s="18" t="n">
        <x:v>-1755.51</x:v>
      </x:c>
      <x:c r="H1757" s="18" t="n">
        <x:f>H1756+G1757</x:f>
        <x:v>10267450.019999988</x:v>
      </x:c>
    </x:row>
    <x:row r="1758">
      <x:c r="A1758" s="20" t="n">
        <x:v>46197</x:v>
      </x:c>
      <x:c r="B1758" s="21" t="str">
        <x:v>CHK0028199</x:v>
      </x:c>
      <x:c r="C1758" s="21" t="str">
        <x:v>CHECK PAYMENT - Brooks, Johnson and Olson - DP-2026-028199</x:v>
      </x:c>
      <x:c r="D1758" s="21" t="str">
        <x:v>Supplier payment</x:v>
      </x:c>
      <x:c r="E1758" s="18" t="n">
        <x:v>182.21</x:v>
      </x:c>
      <x:c r="F1758" s="18"/>
      <x:c r="G1758" s="18" t="n">
        <x:v>-182.21</x:v>
      </x:c>
      <x:c r="H1758" s="18" t="n">
        <x:f>H1757+G1758</x:f>
        <x:v>10267267.809999987</x:v>
      </x:c>
    </x:row>
    <x:row r="1759">
      <x:c r="A1759" s="20" t="n">
        <x:v>46197</x:v>
      </x:c>
      <x:c r="B1759" s="21" t="str">
        <x:v>CHK0028204</x:v>
      </x:c>
      <x:c r="C1759" s="21" t="str">
        <x:v>CHECK PAYMENT - Lucas, Green and Richardson - DP-2026-028204</x:v>
      </x:c>
      <x:c r="D1759" s="21" t="str">
        <x:v>Supplier payment</x:v>
      </x:c>
      <x:c r="E1759" s="18" t="n">
        <x:v>756.11</x:v>
      </x:c>
      <x:c r="F1759" s="18"/>
      <x:c r="G1759" s="18" t="n">
        <x:v>-756.11</x:v>
      </x:c>
      <x:c r="H1759" s="18" t="n">
        <x:f>H1758+G1759</x:f>
        <x:v>10266511.699999988</x:v>
      </x:c>
    </x:row>
    <x:row r="1760">
      <x:c r="A1760" s="20" t="n">
        <x:v>46197</x:v>
      </x:c>
      <x:c r="B1760" s="21" t="str">
        <x:v>CHK0028433</x:v>
      </x:c>
      <x:c r="C1760" s="21" t="str">
        <x:v>CHECK PAYMENT - Velasquez-Baxter - DP-2026-028433</x:v>
      </x:c>
      <x:c r="D1760" s="21" t="str">
        <x:v>Supplier payment</x:v>
      </x:c>
      <x:c r="E1760" s="18" t="n">
        <x:v>340.89</x:v>
      </x:c>
      <x:c r="F1760" s="18"/>
      <x:c r="G1760" s="18" t="n">
        <x:v>-340.89</x:v>
      </x:c>
      <x:c r="H1760" s="18" t="n">
        <x:f>H1759+G1760</x:f>
        <x:v>10266170.809999987</x:v>
      </x:c>
    </x:row>
    <x:row r="1761">
      <x:c r="A1761" s="20" t="n">
        <x:v>46197</x:v>
      </x:c>
      <x:c r="B1761" s="21" t="str">
        <x:v>CHK0028440</x:v>
      </x:c>
      <x:c r="C1761" s="21" t="str">
        <x:v>CHECK PAYMENT - Bell, Pruitt and David - DP-2026-028440</x:v>
      </x:c>
      <x:c r="D1761" s="21" t="str">
        <x:v>Supplier payment</x:v>
      </x:c>
      <x:c r="E1761" s="18" t="n">
        <x:v>146.65</x:v>
      </x:c>
      <x:c r="F1761" s="18"/>
      <x:c r="G1761" s="18" t="n">
        <x:v>-146.65</x:v>
      </x:c>
      <x:c r="H1761" s="18" t="n">
        <x:f>H1760+G1761</x:f>
        <x:v>10266024.159999987</x:v>
      </x:c>
    </x:row>
    <x:row r="1762">
      <x:c r="A1762" s="20" t="n">
        <x:v>46197</x:v>
      </x:c>
      <x:c r="B1762" s="21" t="str">
        <x:v>DP-2026-025621</x:v>
      </x:c>
      <x:c r="C1762" s="21" t="str">
        <x:v>ACH PAYMENT - Silva, Burton and Arnold - DP-2026-025621</x:v>
      </x:c>
      <x:c r="D1762" s="21" t="str">
        <x:v>Supplier payment</x:v>
      </x:c>
      <x:c r="E1762" s="18" t="n">
        <x:v>5650.92</x:v>
      </x:c>
      <x:c r="F1762" s="18"/>
      <x:c r="G1762" s="18" t="n">
        <x:v>-5650.92</x:v>
      </x:c>
      <x:c r="H1762" s="18" t="n">
        <x:f>H1761+G1762</x:f>
        <x:v>10260373.239999987</x:v>
      </x:c>
    </x:row>
    <x:row r="1763">
      <x:c r="A1763" s="20" t="n">
        <x:v>46197</x:v>
      </x:c>
      <x:c r="B1763" s="21" t="str">
        <x:v>DP-2026-027178</x:v>
      </x:c>
      <x:c r="C1763" s="21" t="str">
        <x:v>ACH PAYMENT - Clayton-Thompson - DP-2026-027178</x:v>
      </x:c>
      <x:c r="D1763" s="21" t="str">
        <x:v>Supplier payment</x:v>
      </x:c>
      <x:c r="E1763" s="18" t="n">
        <x:v>258.84</x:v>
      </x:c>
      <x:c r="F1763" s="18"/>
      <x:c r="G1763" s="18" t="n">
        <x:v>-258.84</x:v>
      </x:c>
      <x:c r="H1763" s="18" t="n">
        <x:f>H1762+G1763</x:f>
        <x:v>10260114.399999987</x:v>
      </x:c>
    </x:row>
    <x:row r="1764">
      <x:c r="A1764" s="20" t="n">
        <x:v>46197</x:v>
      </x:c>
      <x:c r="B1764" s="21" t="str">
        <x:v>DP-2026-027182</x:v>
      </x:c>
      <x:c r="C1764" s="21" t="str">
        <x:v>ACH PAYMENT - Sweeney PLC - DP-2026-027182</x:v>
      </x:c>
      <x:c r="D1764" s="21" t="str">
        <x:v>Supplier payment</x:v>
      </x:c>
      <x:c r="E1764" s="18" t="n">
        <x:v>47.2</x:v>
      </x:c>
      <x:c r="F1764" s="18"/>
      <x:c r="G1764" s="18" t="n">
        <x:v>-47.2</x:v>
      </x:c>
      <x:c r="H1764" s="18" t="n">
        <x:f>H1763+G1764</x:f>
        <x:v>10260067.199999988</x:v>
      </x:c>
    </x:row>
    <x:row r="1765">
      <x:c r="A1765" s="20" t="n">
        <x:v>46197</x:v>
      </x:c>
      <x:c r="B1765" s="21" t="str">
        <x:v>DP-2026-027189</x:v>
      </x:c>
      <x:c r="C1765" s="21" t="str">
        <x:v>ACH PAYMENT - Velasquez-Baxter - DP-2026-027189</x:v>
      </x:c>
      <x:c r="D1765" s="21" t="str">
        <x:v>Supplier payment</x:v>
      </x:c>
      <x:c r="E1765" s="18" t="n">
        <x:v>1018.74</x:v>
      </x:c>
      <x:c r="F1765" s="18"/>
      <x:c r="G1765" s="18" t="n">
        <x:v>-1018.74</x:v>
      </x:c>
      <x:c r="H1765" s="18" t="n">
        <x:f>H1764+G1765</x:f>
        <x:v>10259048.459999988</x:v>
      </x:c>
    </x:row>
    <x:row r="1766">
      <x:c r="A1766" s="20" t="n">
        <x:v>46197</x:v>
      </x:c>
      <x:c r="B1766" s="21" t="str">
        <x:v>DP-2026-027196</x:v>
      </x:c>
      <x:c r="C1766" s="21" t="str">
        <x:v>ACH PAYMENT - Munoz, Garcia and Olsen - DP-2026-027196</x:v>
      </x:c>
      <x:c r="D1766" s="21" t="str">
        <x:v>Supplier payment</x:v>
      </x:c>
      <x:c r="E1766" s="18" t="n">
        <x:v>726.74</x:v>
      </x:c>
      <x:c r="F1766" s="18"/>
      <x:c r="G1766" s="18" t="n">
        <x:v>-726.74</x:v>
      </x:c>
      <x:c r="H1766" s="18" t="n">
        <x:f>H1765+G1766</x:f>
        <x:v>10258321.719999988</x:v>
      </x:c>
    </x:row>
    <x:row r="1767">
      <x:c r="A1767" s="20" t="n">
        <x:v>46197</x:v>
      </x:c>
      <x:c r="B1767" s="21" t="str">
        <x:v>DP-2026-027199</x:v>
      </x:c>
      <x:c r="C1767" s="21" t="str">
        <x:v>WIRE TRANSFER PAYMENT - Diaz Group - DP-2026-027199</x:v>
      </x:c>
      <x:c r="D1767" s="21" t="str">
        <x:v>Supplier payment</x:v>
      </x:c>
      <x:c r="E1767" s="18" t="n">
        <x:v>1422.44</x:v>
      </x:c>
      <x:c r="F1767" s="18"/>
      <x:c r="G1767" s="18" t="n">
        <x:v>-1422.44</x:v>
      </x:c>
      <x:c r="H1767" s="18" t="n">
        <x:f>H1766+G1767</x:f>
        <x:v>10256899.279999988</x:v>
      </x:c>
    </x:row>
    <x:row r="1768">
      <x:c r="A1768" s="20" t="n">
        <x:v>46197</x:v>
      </x:c>
      <x:c r="B1768" s="21" t="str">
        <x:v>DP-2026-028137</x:v>
      </x:c>
      <x:c r="C1768" s="21" t="str">
        <x:v>ACH PAYMENT - Collins-Johnson - DP-2026-028137</x:v>
      </x:c>
      <x:c r="D1768" s="21" t="str">
        <x:v>Supplier payment</x:v>
      </x:c>
      <x:c r="E1768" s="18" t="n">
        <x:v>358.4</x:v>
      </x:c>
      <x:c r="F1768" s="18"/>
      <x:c r="G1768" s="18" t="n">
        <x:v>-358.4</x:v>
      </x:c>
      <x:c r="H1768" s="18" t="n">
        <x:f>H1767+G1768</x:f>
        <x:v>10256540.879999988</x:v>
      </x:c>
    </x:row>
    <x:row r="1769">
      <x:c r="A1769" s="20" t="n">
        <x:v>46197</x:v>
      </x:c>
      <x:c r="B1769" s="21" t="str">
        <x:v>DP-2026-028167</x:v>
      </x:c>
      <x:c r="C1769" s="21" t="str">
        <x:v>ACH PAYMENT - Hester Ltd - DP-2026-028167</x:v>
      </x:c>
      <x:c r="D1769" s="21" t="str">
        <x:v>Supplier payment</x:v>
      </x:c>
      <x:c r="E1769" s="18" t="n">
        <x:v>313.3</x:v>
      </x:c>
      <x:c r="F1769" s="18"/>
      <x:c r="G1769" s="18" t="n">
        <x:v>-313.3</x:v>
      </x:c>
      <x:c r="H1769" s="18" t="n">
        <x:f>H1768+G1769</x:f>
        <x:v>10256227.579999987</x:v>
      </x:c>
    </x:row>
    <x:row r="1770">
      <x:c r="A1770" s="20" t="n">
        <x:v>46197</x:v>
      </x:c>
      <x:c r="B1770" s="21" t="str">
        <x:v>DP-2026-028177</x:v>
      </x:c>
      <x:c r="C1770" s="21" t="str">
        <x:v>ACH PAYMENT - Diaz Group - DP-2026-028177</x:v>
      </x:c>
      <x:c r="D1770" s="21" t="str">
        <x:v>Supplier payment</x:v>
      </x:c>
      <x:c r="E1770" s="18" t="n">
        <x:v>618.98</x:v>
      </x:c>
      <x:c r="F1770" s="18"/>
      <x:c r="G1770" s="18" t="n">
        <x:v>-618.98</x:v>
      </x:c>
      <x:c r="H1770" s="18" t="n">
        <x:f>H1769+G1770</x:f>
        <x:v>10255608.599999987</x:v>
      </x:c>
    </x:row>
    <x:row r="1771">
      <x:c r="A1771" s="20" t="n">
        <x:v>46197</x:v>
      </x:c>
      <x:c r="B1771" s="21" t="str">
        <x:v>DP-2026-028184</x:v>
      </x:c>
      <x:c r="C1771" s="21" t="str">
        <x:v>ACH PAYMENT - Yang-Sandoval - DP-2026-028184</x:v>
      </x:c>
      <x:c r="D1771" s="21" t="str">
        <x:v>Supplier payment</x:v>
      </x:c>
      <x:c r="E1771" s="18" t="n">
        <x:v>104.69</x:v>
      </x:c>
      <x:c r="F1771" s="18"/>
      <x:c r="G1771" s="18" t="n">
        <x:v>-104.69</x:v>
      </x:c>
      <x:c r="H1771" s="18" t="n">
        <x:f>H1770+G1771</x:f>
        <x:v>10255503.909999987</x:v>
      </x:c>
    </x:row>
    <x:row r="1772">
      <x:c r="A1772" s="20" t="n">
        <x:v>46197</x:v>
      </x:c>
      <x:c r="B1772" s="21" t="str">
        <x:v>DP-2026-028215</x:v>
      </x:c>
      <x:c r="C1772" s="21" t="str">
        <x:v>ACH PAYMENT - Lindsey and Sons - DP-2026-028215</x:v>
      </x:c>
      <x:c r="D1772" s="21" t="str">
        <x:v>Supplier payment</x:v>
      </x:c>
      <x:c r="E1772" s="18" t="n">
        <x:v>60.99</x:v>
      </x:c>
      <x:c r="F1772" s="18"/>
      <x:c r="G1772" s="18" t="n">
        <x:v>-60.99</x:v>
      </x:c>
      <x:c r="H1772" s="18" t="n">
        <x:f>H1771+G1772</x:f>
        <x:v>10255442.919999987</x:v>
      </x:c>
    </x:row>
    <x:row r="1773">
      <x:c r="A1773" s="20" t="n">
        <x:v>46197</x:v>
      </x:c>
      <x:c r="B1773" s="21" t="str">
        <x:v>DP-2026-028237</x:v>
      </x:c>
      <x:c r="C1773" s="21" t="str">
        <x:v>ACH PAYMENT - Whitaker-Edwards - DP-2026-028237</x:v>
      </x:c>
      <x:c r="D1773" s="21" t="str">
        <x:v>Supplier payment</x:v>
      </x:c>
      <x:c r="E1773" s="18" t="n">
        <x:v>1198.21</x:v>
      </x:c>
      <x:c r="F1773" s="18"/>
      <x:c r="G1773" s="18" t="n">
        <x:v>-1198.21</x:v>
      </x:c>
      <x:c r="H1773" s="18" t="n">
        <x:f>H1772+G1773</x:f>
        <x:v>10254244.709999986</x:v>
      </x:c>
    </x:row>
    <x:row r="1774">
      <x:c r="A1774" s="20" t="n">
        <x:v>46197</x:v>
      </x:c>
      <x:c r="B1774" s="21" t="str">
        <x:v>DP-2026-028245</x:v>
      </x:c>
      <x:c r="C1774" s="21" t="str">
        <x:v>ACH PAYMENT - Garcia Group - DP-2026-028245</x:v>
      </x:c>
      <x:c r="D1774" s="21" t="str">
        <x:v>Supplier payment</x:v>
      </x:c>
      <x:c r="E1774" s="18" t="n">
        <x:v>110.3</x:v>
      </x:c>
      <x:c r="F1774" s="18"/>
      <x:c r="G1774" s="18" t="n">
        <x:v>-110.3</x:v>
      </x:c>
      <x:c r="H1774" s="18" t="n">
        <x:f>H1773+G1774</x:f>
        <x:v>10254134.409999985</x:v>
      </x:c>
    </x:row>
    <x:row r="1775">
      <x:c r="A1775" s="20" t="n">
        <x:v>46197</x:v>
      </x:c>
      <x:c r="B1775" s="21" t="str">
        <x:v>DP-2026-028332</x:v>
      </x:c>
      <x:c r="C1775" s="21" t="str">
        <x:v>ACH PAYMENT - Bell, Pruitt and David - DP-2026-028332</x:v>
      </x:c>
      <x:c r="D1775" s="21" t="str">
        <x:v>Supplier payment</x:v>
      </x:c>
      <x:c r="E1775" s="18" t="n">
        <x:v>396.32</x:v>
      </x:c>
      <x:c r="F1775" s="18"/>
      <x:c r="G1775" s="18" t="n">
        <x:v>-396.32</x:v>
      </x:c>
      <x:c r="H1775" s="18" t="n">
        <x:f>H1774+G1775</x:f>
        <x:v>10253738.089999985</x:v>
      </x:c>
    </x:row>
    <x:row r="1776">
      <x:c r="A1776" s="20" t="n">
        <x:v>46197</x:v>
      </x:c>
      <x:c r="B1776" s="21" t="str">
        <x:v>DP-2026-028380</x:v>
      </x:c>
      <x:c r="C1776" s="21" t="str">
        <x:v>WIRE TRANSFER PAYMENT - Thomas, Gonzalez and Beltran - DP-2026-028380</x:v>
      </x:c>
      <x:c r="D1776" s="21" t="str">
        <x:v>Supplier payment</x:v>
      </x:c>
      <x:c r="E1776" s="18" t="n">
        <x:v>2105.14</x:v>
      </x:c>
      <x:c r="F1776" s="18"/>
      <x:c r="G1776" s="18" t="n">
        <x:v>-2105.14</x:v>
      </x:c>
      <x:c r="H1776" s="18" t="n">
        <x:f>H1775+G1776</x:f>
        <x:v>10251632.949999984</x:v>
      </x:c>
    </x:row>
    <x:row r="1777">
      <x:c r="A1777" s="20" t="n">
        <x:v>46197</x:v>
      </x:c>
      <x:c r="B1777" s="21" t="str">
        <x:v>DP-2026-028385</x:v>
      </x:c>
      <x:c r="C1777" s="21" t="str">
        <x:v>WIRE TRANSFER PAYMENT - Weeks Group - DP-2026-028385</x:v>
      </x:c>
      <x:c r="D1777" s="21" t="str">
        <x:v>Supplier payment</x:v>
      </x:c>
      <x:c r="E1777" s="18" t="n">
        <x:v>781.81</x:v>
      </x:c>
      <x:c r="F1777" s="18"/>
      <x:c r="G1777" s="18" t="n">
        <x:v>-781.81</x:v>
      </x:c>
      <x:c r="H1777" s="18" t="n">
        <x:f>H1776+G1777</x:f>
        <x:v>10250851.139999984</x:v>
      </x:c>
    </x:row>
    <x:row r="1778">
      <x:c r="A1778" s="20" t="n">
        <x:v>46197</x:v>
      </x:c>
      <x:c r="B1778" s="21" t="str">
        <x:v>DP-2026-028399</x:v>
      </x:c>
      <x:c r="C1778" s="21" t="str">
        <x:v>ACH PAYMENT - Bell, Pruitt and David - DP-2026-028399</x:v>
      </x:c>
      <x:c r="D1778" s="21" t="str">
        <x:v>Supplier payment</x:v>
      </x:c>
      <x:c r="E1778" s="18" t="n">
        <x:v>114.14</x:v>
      </x:c>
      <x:c r="F1778" s="18"/>
      <x:c r="G1778" s="18" t="n">
        <x:v>-114.14</x:v>
      </x:c>
      <x:c r="H1778" s="18" t="n">
        <x:f>H1777+G1778</x:f>
        <x:v>10250736.999999983</x:v>
      </x:c>
    </x:row>
    <x:row r="1779">
      <x:c r="A1779" s="20" t="n">
        <x:v>46197</x:v>
      </x:c>
      <x:c r="B1779" s="21" t="str">
        <x:v>DP-2026-028430</x:v>
      </x:c>
      <x:c r="C1779" s="21" t="str">
        <x:v>WIRE TRANSFER PAYMENT - Hale-Hart - DP-2026-028430</x:v>
      </x:c>
      <x:c r="D1779" s="21" t="str">
        <x:v>Supplier payment</x:v>
      </x:c>
      <x:c r="E1779" s="18" t="n">
        <x:v>343.76</x:v>
      </x:c>
      <x:c r="F1779" s="18"/>
      <x:c r="G1779" s="18" t="n">
        <x:v>-343.76</x:v>
      </x:c>
      <x:c r="H1779" s="18" t="n">
        <x:f>H1778+G1779</x:f>
        <x:v>10250393.239999983</x:v>
      </x:c>
    </x:row>
    <x:row r="1780">
      <x:c r="A1780" s="20" t="n">
        <x:v>46197</x:v>
      </x:c>
      <x:c r="B1780" s="21" t="str">
        <x:v>DP-2026-028473</x:v>
      </x:c>
      <x:c r="C1780" s="21" t="str">
        <x:v>ACH PAYMENT - Lindsey and Sons - DP-2026-028473</x:v>
      </x:c>
      <x:c r="D1780" s="21" t="str">
        <x:v>Supplier payment</x:v>
      </x:c>
      <x:c r="E1780" s="18" t="n">
        <x:v>397.15</x:v>
      </x:c>
      <x:c r="F1780" s="18"/>
      <x:c r="G1780" s="18" t="n">
        <x:v>-397.15</x:v>
      </x:c>
      <x:c r="H1780" s="18" t="n">
        <x:f>H1779+G1780</x:f>
        <x:v>10249996.089999983</x:v>
      </x:c>
    </x:row>
    <x:row r="1781">
      <x:c r="A1781" s="20" t="n">
        <x:v>46197</x:v>
      </x:c>
      <x:c r="B1781" s="21" t="str">
        <x:v>DP-2026-028498</x:v>
      </x:c>
      <x:c r="C1781" s="21" t="str">
        <x:v>WIRE TRANSFER PAYMENT - Whitaker-Edwards - DP-2026-028498</x:v>
      </x:c>
      <x:c r="D1781" s="21" t="str">
        <x:v>Supplier payment</x:v>
      </x:c>
      <x:c r="E1781" s="18" t="n">
        <x:v>155.08</x:v>
      </x:c>
      <x:c r="F1781" s="18"/>
      <x:c r="G1781" s="18" t="n">
        <x:v>-155.08</x:v>
      </x:c>
      <x:c r="H1781" s="18" t="n">
        <x:f>H1780+G1781</x:f>
        <x:v>10249841.009999983</x:v>
      </x:c>
    </x:row>
    <x:row r="1782">
      <x:c r="A1782" s="20" t="n">
        <x:v>46197</x:v>
      </x:c>
      <x:c r="B1782" s="21" t="str">
        <x:v>DP-2026-028555</x:v>
      </x:c>
      <x:c r="C1782" s="21" t="str">
        <x:v>ACH PAYMENT - Turner PLC - DP-2026-028555</x:v>
      </x:c>
      <x:c r="D1782" s="21" t="str">
        <x:v>Supplier payment</x:v>
      </x:c>
      <x:c r="E1782" s="18" t="n">
        <x:v>3059.13</x:v>
      </x:c>
      <x:c r="F1782" s="18"/>
      <x:c r="G1782" s="18" t="n">
        <x:v>-3059.13</x:v>
      </x:c>
      <x:c r="H1782" s="18" t="n">
        <x:f>H1781+G1782</x:f>
        <x:v>10246781.879999982</x:v>
      </x:c>
    </x:row>
    <x:row r="1783">
      <x:c r="A1783" s="20" t="n">
        <x:v>46197</x:v>
      </x:c>
      <x:c r="B1783" s="21" t="str">
        <x:v>DP-2026-040074</x:v>
      </x:c>
      <x:c r="C1783" s="21" t="str">
        <x:v>ACH PAYMENT - Martinez, Green and Gentry - DP-2026-040074</x:v>
      </x:c>
      <x:c r="D1783" s="21" t="str">
        <x:v>Supplier payment</x:v>
      </x:c>
      <x:c r="E1783" s="18" t="n">
        <x:v>31745.59</x:v>
      </x:c>
      <x:c r="F1783" s="18"/>
      <x:c r="G1783" s="18" t="n">
        <x:v>-31745.59</x:v>
      </x:c>
      <x:c r="H1783" s="18" t="n">
        <x:f>H1782+G1783</x:f>
        <x:v>10215036.289999982</x:v>
      </x:c>
    </x:row>
    <x:row r="1784">
      <x:c r="A1784" s="20" t="n">
        <x:v>46198</x:v>
      </x:c>
      <x:c r="B1784" s="21" t="str">
        <x:v>AR00005978</x:v>
      </x:c>
      <x:c r="C1784" s="21" t="str">
        <x:v>CUSTOMER DEPOSIT - Smith-Fisher - CR-2026-005978</x:v>
      </x:c>
      <x:c r="D1784" s="21" t="str">
        <x:v>Customer deposit</x:v>
      </x:c>
      <x:c r="E1784" s="18"/>
      <x:c r="F1784" s="18" t="n">
        <x:v>993.06</x:v>
      </x:c>
      <x:c r="G1784" s="18" t="n">
        <x:v>993.06</x:v>
      </x:c>
      <x:c r="H1784" s="18" t="n">
        <x:f>H1783+G1784</x:f>
        <x:v>10216029.349999983</x:v>
      </x:c>
    </x:row>
    <x:row r="1785">
      <x:c r="A1785" s="20" t="n">
        <x:v>46198</x:v>
      </x:c>
      <x:c r="B1785" s="21" t="str">
        <x:v>AR00006022</x:v>
      </x:c>
      <x:c r="C1785" s="21" t="str">
        <x:v>CUSTOMER DEPOSIT - Garcia-Hutchinson - CR-2026-006022</x:v>
      </x:c>
      <x:c r="D1785" s="21" t="str">
        <x:v>Customer deposit</x:v>
      </x:c>
      <x:c r="E1785" s="18"/>
      <x:c r="F1785" s="18" t="n">
        <x:v>330.67</x:v>
      </x:c>
      <x:c r="G1785" s="18" t="n">
        <x:v>330.67</x:v>
      </x:c>
      <x:c r="H1785" s="18" t="n">
        <x:f>H1784+G1785</x:f>
        <x:v>10216360.019999983</x:v>
      </x:c>
    </x:row>
    <x:row r="1786">
      <x:c r="A1786" s="20" t="n">
        <x:v>46198</x:v>
      </x:c>
      <x:c r="B1786" s="21" t="str">
        <x:v>CHK0025622</x:v>
      </x:c>
      <x:c r="C1786" s="21" t="str">
        <x:v>CHECK PAYMENT - Green and Sons - DP-2026-025622</x:v>
      </x:c>
      <x:c r="D1786" s="21" t="str">
        <x:v>Supplier payment</x:v>
      </x:c>
      <x:c r="E1786" s="18" t="n">
        <x:v>1046.47</x:v>
      </x:c>
      <x:c r="F1786" s="18"/>
      <x:c r="G1786" s="18" t="n">
        <x:v>-1046.47</x:v>
      </x:c>
      <x:c r="H1786" s="18" t="n">
        <x:f>H1785+G1786</x:f>
        <x:v>10215313.549999982</x:v>
      </x:c>
    </x:row>
    <x:row r="1787">
      <x:c r="A1787" s="20" t="n">
        <x:v>46198</x:v>
      </x:c>
      <x:c r="B1787" s="21" t="str">
        <x:v>CHK0027179</x:v>
      </x:c>
      <x:c r="C1787" s="21" t="str">
        <x:v>CHECK PAYMENT - Jones Group - DP-2026-027179</x:v>
      </x:c>
      <x:c r="D1787" s="21" t="str">
        <x:v>Supplier payment</x:v>
      </x:c>
      <x:c r="E1787" s="18" t="n">
        <x:v>38.86</x:v>
      </x:c>
      <x:c r="F1787" s="18"/>
      <x:c r="G1787" s="18" t="n">
        <x:v>-38.86</x:v>
      </x:c>
      <x:c r="H1787" s="18" t="n">
        <x:f>H1786+G1787</x:f>
        <x:v>10215274.689999983</x:v>
      </x:c>
    </x:row>
    <x:row r="1788">
      <x:c r="A1788" s="20" t="n">
        <x:v>46198</x:v>
      </x:c>
      <x:c r="B1788" s="21" t="str">
        <x:v>CHK0028206</x:v>
      </x:c>
      <x:c r="C1788" s="21" t="str">
        <x:v>CHECK PAYMENT - Lucas, Green and Richardson - DP-2026-028206</x:v>
      </x:c>
      <x:c r="D1788" s="21" t="str">
        <x:v>Supplier payment</x:v>
      </x:c>
      <x:c r="E1788" s="18" t="n">
        <x:v>1634.34</x:v>
      </x:c>
      <x:c r="F1788" s="18"/>
      <x:c r="G1788" s="18" t="n">
        <x:v>-1634.34</x:v>
      </x:c>
      <x:c r="H1788" s="18" t="n">
        <x:f>H1787+G1788</x:f>
        <x:v>10213640.349999983</x:v>
      </x:c>
    </x:row>
    <x:row r="1789">
      <x:c r="A1789" s="20" t="n">
        <x:v>46198</x:v>
      </x:c>
      <x:c r="B1789" s="21" t="str">
        <x:v>CHK0028233</x:v>
      </x:c>
      <x:c r="C1789" s="21" t="str">
        <x:v>CHECK PAYMENT - Hernandez, Melendez and Mcdowell - DP-2026-028233</x:v>
      </x:c>
      <x:c r="D1789" s="21" t="str">
        <x:v>Supplier payment</x:v>
      </x:c>
      <x:c r="E1789" s="18" t="n">
        <x:v>591.77</x:v>
      </x:c>
      <x:c r="F1789" s="18"/>
      <x:c r="G1789" s="18" t="n">
        <x:v>-591.77</x:v>
      </x:c>
      <x:c r="H1789" s="18" t="n">
        <x:f>H1788+G1789</x:f>
        <x:v>10213048.579999983</x:v>
      </x:c>
    </x:row>
    <x:row r="1790">
      <x:c r="A1790" s="20" t="n">
        <x:v>46198</x:v>
      </x:c>
      <x:c r="B1790" s="21" t="str">
        <x:v>CHK0028292</x:v>
      </x:c>
      <x:c r="C1790" s="21" t="str">
        <x:v>CHECK PAYMENT - Hernandez, Melendez and Mcdowell - DP-2026-028292</x:v>
      </x:c>
      <x:c r="D1790" s="21" t="str">
        <x:v>Supplier payment</x:v>
      </x:c>
      <x:c r="E1790" s="18" t="n">
        <x:v>73.65</x:v>
      </x:c>
      <x:c r="F1790" s="18"/>
      <x:c r="G1790" s="18" t="n">
        <x:v>-73.65</x:v>
      </x:c>
      <x:c r="H1790" s="18" t="n">
        <x:f>H1789+G1790</x:f>
        <x:v>10212974.929999983</x:v>
      </x:c>
    </x:row>
    <x:row r="1791">
      <x:c r="A1791" s="20" t="n">
        <x:v>46198</x:v>
      </x:c>
      <x:c r="B1791" s="21" t="str">
        <x:v>CHK0028311</x:v>
      </x:c>
      <x:c r="C1791" s="21" t="str">
        <x:v>CHECK PAYMENT - Villarreal, Mcdonald and Scott - DP-2026-028311</x:v>
      </x:c>
      <x:c r="D1791" s="21" t="str">
        <x:v>Supplier payment</x:v>
      </x:c>
      <x:c r="E1791" s="18" t="n">
        <x:v>512.24</x:v>
      </x:c>
      <x:c r="F1791" s="18"/>
      <x:c r="G1791" s="18" t="n">
        <x:v>-512.24</x:v>
      </x:c>
      <x:c r="H1791" s="18" t="n">
        <x:f>H1790+G1791</x:f>
        <x:v>10212462.689999983</x:v>
      </x:c>
    </x:row>
    <x:row r="1792">
      <x:c r="A1792" s="20" t="n">
        <x:v>46198</x:v>
      </x:c>
      <x:c r="B1792" s="21" t="str">
        <x:v>CHK0028320</x:v>
      </x:c>
      <x:c r="C1792" s="21" t="str">
        <x:v>CHECK PAYMENT - Bailey, Gutierrez and Cameron - DP-2026-028320</x:v>
      </x:c>
      <x:c r="D1792" s="21" t="str">
        <x:v>Supplier payment</x:v>
      </x:c>
      <x:c r="E1792" s="18" t="n">
        <x:v>818.24</x:v>
      </x:c>
      <x:c r="F1792" s="18"/>
      <x:c r="G1792" s="18" t="n">
        <x:v>-818.24</x:v>
      </x:c>
      <x:c r="H1792" s="18" t="n">
        <x:f>H1791+G1792</x:f>
        <x:v>10211644.449999982</x:v>
      </x:c>
    </x:row>
    <x:row r="1793">
      <x:c r="A1793" s="20" t="n">
        <x:v>46198</x:v>
      </x:c>
      <x:c r="B1793" s="21" t="str">
        <x:v>CHK0028375</x:v>
      </x:c>
      <x:c r="C1793" s="21" t="str">
        <x:v>CHECK PAYMENT - Peters, Terry and Zimmerman - DP-2026-028375</x:v>
      </x:c>
      <x:c r="D1793" s="21" t="str">
        <x:v>Supplier payment</x:v>
      </x:c>
      <x:c r="E1793" s="18" t="n">
        <x:v>361.62</x:v>
      </x:c>
      <x:c r="F1793" s="18"/>
      <x:c r="G1793" s="18" t="n">
        <x:v>-361.62</x:v>
      </x:c>
      <x:c r="H1793" s="18" t="n">
        <x:f>H1792+G1793</x:f>
        <x:v>10211282.829999983</x:v>
      </x:c>
    </x:row>
    <x:row r="1794">
      <x:c r="A1794" s="20" t="n">
        <x:v>46198</x:v>
      </x:c>
      <x:c r="B1794" s="21" t="str">
        <x:v>CHK0028413</x:v>
      </x:c>
      <x:c r="C1794" s="21" t="str">
        <x:v>CHECK PAYMENT - Bell, Pruitt and David - DP-2026-028413</x:v>
      </x:c>
      <x:c r="D1794" s="21" t="str">
        <x:v>Supplier payment</x:v>
      </x:c>
      <x:c r="E1794" s="18" t="n">
        <x:v>631.85</x:v>
      </x:c>
      <x:c r="F1794" s="18"/>
      <x:c r="G1794" s="18" t="n">
        <x:v>-631.85</x:v>
      </x:c>
      <x:c r="H1794" s="18" t="n">
        <x:f>H1793+G1794</x:f>
        <x:v>10210650.979999984</x:v>
      </x:c>
    </x:row>
    <x:row r="1795">
      <x:c r="A1795" s="20" t="n">
        <x:v>46198</x:v>
      </x:c>
      <x:c r="B1795" s="21" t="str">
        <x:v>CHK0028553</x:v>
      </x:c>
      <x:c r="C1795" s="21" t="str">
        <x:v>CHECK PAYMENT - Wright, Sanchez and Garza - DP-2026-028553</x:v>
      </x:c>
      <x:c r="D1795" s="21" t="str">
        <x:v>Supplier payment</x:v>
      </x:c>
      <x:c r="E1795" s="18" t="n">
        <x:v>248.77</x:v>
      </x:c>
      <x:c r="F1795" s="18"/>
      <x:c r="G1795" s="18" t="n">
        <x:v>-248.77</x:v>
      </x:c>
      <x:c r="H1795" s="18" t="n">
        <x:f>H1794+G1795</x:f>
        <x:v>10210402.209999984</x:v>
      </x:c>
    </x:row>
    <x:row r="1796">
      <x:c r="A1796" s="20" t="n">
        <x:v>46198</x:v>
      </x:c>
      <x:c r="B1796" s="21" t="str">
        <x:v>CHK0028581</x:v>
      </x:c>
      <x:c r="C1796" s="21" t="str">
        <x:v>CHECK PAYMENT - Diaz Group - DP-2026-028581</x:v>
      </x:c>
      <x:c r="D1796" s="21" t="str">
        <x:v>Supplier payment</x:v>
      </x:c>
      <x:c r="E1796" s="18" t="n">
        <x:v>1193.56</x:v>
      </x:c>
      <x:c r="F1796" s="18"/>
      <x:c r="G1796" s="18" t="n">
        <x:v>-1193.56</x:v>
      </x:c>
      <x:c r="H1796" s="18" t="n">
        <x:f>H1795+G1796</x:f>
        <x:v>10209208.649999984</x:v>
      </x:c>
    </x:row>
    <x:row r="1797">
      <x:c r="A1797" s="20" t="n">
        <x:v>46198</x:v>
      </x:c>
      <x:c r="B1797" s="21" t="str">
        <x:v>DP-2026-027183</x:v>
      </x:c>
      <x:c r="C1797" s="21" t="str">
        <x:v>WIRE TRANSFER PAYMENT - Berger, Stanley and Cooper - DP-2026-027183</x:v>
      </x:c>
      <x:c r="D1797" s="21" t="str">
        <x:v>Supplier payment</x:v>
      </x:c>
      <x:c r="E1797" s="18" t="n">
        <x:v>1091.03</x:v>
      </x:c>
      <x:c r="F1797" s="18"/>
      <x:c r="G1797" s="18" t="n">
        <x:v>-1091.03</x:v>
      </x:c>
      <x:c r="H1797" s="18" t="n">
        <x:f>H1796+G1797</x:f>
        <x:v>10208117.619999984</x:v>
      </x:c>
    </x:row>
    <x:row r="1798">
      <x:c r="A1798" s="20" t="n">
        <x:v>46198</x:v>
      </x:c>
      <x:c r="B1798" s="21" t="str">
        <x:v>DP-2026-027185</x:v>
      </x:c>
      <x:c r="C1798" s="21" t="str">
        <x:v>ACH PAYMENT - Bell, Pruitt and David - DP-2026-027185</x:v>
      </x:c>
      <x:c r="D1798" s="21" t="str">
        <x:v>Supplier payment</x:v>
      </x:c>
      <x:c r="E1798" s="18" t="n">
        <x:v>453.17</x:v>
      </x:c>
      <x:c r="F1798" s="18"/>
      <x:c r="G1798" s="18" t="n">
        <x:v>-453.17</x:v>
      </x:c>
      <x:c r="H1798" s="18" t="n">
        <x:f>H1797+G1798</x:f>
        <x:v>10207664.449999984</x:v>
      </x:c>
    </x:row>
    <x:row r="1799">
      <x:c r="A1799" s="20" t="n">
        <x:v>46198</x:v>
      </x:c>
      <x:c r="B1799" s="21" t="str">
        <x:v>DP-2026-027190</x:v>
      </x:c>
      <x:c r="C1799" s="21" t="str">
        <x:v>ACH PAYMENT - Rodriguez, Goodman and Lee - DP-2026-027190</x:v>
      </x:c>
      <x:c r="D1799" s="21" t="str">
        <x:v>Supplier payment</x:v>
      </x:c>
      <x:c r="E1799" s="18" t="n">
        <x:v>420.26</x:v>
      </x:c>
      <x:c r="F1799" s="18"/>
      <x:c r="G1799" s="18" t="n">
        <x:v>-420.26</x:v>
      </x:c>
      <x:c r="H1799" s="18" t="n">
        <x:f>H1798+G1799</x:f>
        <x:v>10207244.189999985</x:v>
      </x:c>
    </x:row>
    <x:row r="1800">
      <x:c r="A1800" s="20" t="n">
        <x:v>46198</x:v>
      </x:c>
      <x:c r="B1800" s="21" t="str">
        <x:v>DP-2026-027193</x:v>
      </x:c>
      <x:c r="C1800" s="21" t="str">
        <x:v>ACH PAYMENT - Hale-Hart - DP-2026-027193</x:v>
      </x:c>
      <x:c r="D1800" s="21" t="str">
        <x:v>Supplier payment</x:v>
      </x:c>
      <x:c r="E1800" s="18" t="n">
        <x:v>484.26</x:v>
      </x:c>
      <x:c r="F1800" s="18"/>
      <x:c r="G1800" s="18" t="n">
        <x:v>-484.26</x:v>
      </x:c>
      <x:c r="H1800" s="18" t="n">
        <x:f>H1799+G1800</x:f>
        <x:v>10206759.929999985</x:v>
      </x:c>
    </x:row>
    <x:row r="1801">
      <x:c r="A1801" s="20" t="n">
        <x:v>46198</x:v>
      </x:c>
      <x:c r="B1801" s="21" t="str">
        <x:v>DP-2026-027207</x:v>
      </x:c>
      <x:c r="C1801" s="21" t="str">
        <x:v>ACH PAYMENT - Gay, Clark and Hickman - DP-2026-027207</x:v>
      </x:c>
      <x:c r="D1801" s="21" t="str">
        <x:v>Supplier payment</x:v>
      </x:c>
      <x:c r="E1801" s="18" t="n">
        <x:v>1486.75</x:v>
      </x:c>
      <x:c r="F1801" s="18"/>
      <x:c r="G1801" s="18" t="n">
        <x:v>-1486.75</x:v>
      </x:c>
      <x:c r="H1801" s="18" t="n">
        <x:f>H1800+G1801</x:f>
        <x:v>10205273.179999985</x:v>
      </x:c>
    </x:row>
    <x:row r="1802">
      <x:c r="A1802" s="20" t="n">
        <x:v>46198</x:v>
      </x:c>
      <x:c r="B1802" s="21" t="str">
        <x:v>DP-2026-028261</x:v>
      </x:c>
      <x:c r="C1802" s="21" t="str">
        <x:v>ACH PAYMENT - Evans PLC - DP-2026-028261</x:v>
      </x:c>
      <x:c r="D1802" s="21" t="str">
        <x:v>Supplier payment</x:v>
      </x:c>
      <x:c r="E1802" s="18" t="n">
        <x:v>1708.96</x:v>
      </x:c>
      <x:c r="F1802" s="18"/>
      <x:c r="G1802" s="18" t="n">
        <x:v>-1708.96</x:v>
      </x:c>
      <x:c r="H1802" s="18" t="n">
        <x:f>H1801+G1802</x:f>
        <x:v>10203564.219999984</x:v>
      </x:c>
    </x:row>
    <x:row r="1803">
      <x:c r="A1803" s="20" t="n">
        <x:v>46198</x:v>
      </x:c>
      <x:c r="B1803" s="21" t="str">
        <x:v>DP-2026-028270</x:v>
      </x:c>
      <x:c r="C1803" s="21" t="str">
        <x:v>ACH PAYMENT - Boone-Benton - DP-2026-028270</x:v>
      </x:c>
      <x:c r="D1803" s="21" t="str">
        <x:v>Supplier payment</x:v>
      </x:c>
      <x:c r="E1803" s="18" t="n">
        <x:v>487.98</x:v>
      </x:c>
      <x:c r="F1803" s="18"/>
      <x:c r="G1803" s="18" t="n">
        <x:v>-487.98</x:v>
      </x:c>
      <x:c r="H1803" s="18" t="n">
        <x:f>H1802+G1803</x:f>
        <x:v>10203076.239999983</x:v>
      </x:c>
    </x:row>
    <x:row r="1804">
      <x:c r="A1804" s="20" t="n">
        <x:v>46198</x:v>
      </x:c>
      <x:c r="B1804" s="21" t="str">
        <x:v>DP-2026-028275</x:v>
      </x:c>
      <x:c r="C1804" s="21" t="str">
        <x:v>ACH PAYMENT - Garcia Group - DP-2026-028275</x:v>
      </x:c>
      <x:c r="D1804" s="21" t="str">
        <x:v>Supplier payment</x:v>
      </x:c>
      <x:c r="E1804" s="18" t="n">
        <x:v>410.76</x:v>
      </x:c>
      <x:c r="F1804" s="18"/>
      <x:c r="G1804" s="18" t="n">
        <x:v>-410.76</x:v>
      </x:c>
      <x:c r="H1804" s="18" t="n">
        <x:f>H1803+G1804</x:f>
        <x:v>10202665.479999984</x:v>
      </x:c>
    </x:row>
    <x:row r="1805">
      <x:c r="A1805" s="20" t="n">
        <x:v>46198</x:v>
      </x:c>
      <x:c r="B1805" s="21" t="str">
        <x:v>DP-2026-028278</x:v>
      </x:c>
      <x:c r="C1805" s="21" t="str">
        <x:v>ACH PAYMENT - Cross, Alexander and Romero - DP-2026-028278</x:v>
      </x:c>
      <x:c r="D1805" s="21" t="str">
        <x:v>Supplier payment</x:v>
      </x:c>
      <x:c r="E1805" s="18" t="n">
        <x:v>431.23</x:v>
      </x:c>
      <x:c r="F1805" s="18"/>
      <x:c r="G1805" s="18" t="n">
        <x:v>-431.23</x:v>
      </x:c>
      <x:c r="H1805" s="18" t="n">
        <x:f>H1804+G1805</x:f>
        <x:v>10202234.249999983</x:v>
      </x:c>
    </x:row>
    <x:row r="1806">
      <x:c r="A1806" s="20" t="n">
        <x:v>46198</x:v>
      </x:c>
      <x:c r="B1806" s="21" t="str">
        <x:v>DP-2026-028296</x:v>
      </x:c>
      <x:c r="C1806" s="21" t="str">
        <x:v>ACH PAYMENT - Lindsey and Sons - DP-2026-028296</x:v>
      </x:c>
      <x:c r="D1806" s="21" t="str">
        <x:v>Supplier payment</x:v>
      </x:c>
      <x:c r="E1806" s="18" t="n">
        <x:v>1126.05</x:v>
      </x:c>
      <x:c r="F1806" s="18"/>
      <x:c r="G1806" s="18" t="n">
        <x:v>-1126.05</x:v>
      </x:c>
      <x:c r="H1806" s="18" t="n">
        <x:f>H1805+G1806</x:f>
        <x:v>10201108.199999982</x:v>
      </x:c>
    </x:row>
    <x:row r="1807">
      <x:c r="A1807" s="20" t="n">
        <x:v>46198</x:v>
      </x:c>
      <x:c r="B1807" s="21" t="str">
        <x:v>DP-2026-028313</x:v>
      </x:c>
      <x:c r="C1807" s="21" t="str">
        <x:v>ACH PAYMENT - Sweeney PLC - DP-2026-028313</x:v>
      </x:c>
      <x:c r="D1807" s="21" t="str">
        <x:v>Supplier payment</x:v>
      </x:c>
      <x:c r="E1807" s="18" t="n">
        <x:v>101.56</x:v>
      </x:c>
      <x:c r="F1807" s="18"/>
      <x:c r="G1807" s="18" t="n">
        <x:v>-101.56</x:v>
      </x:c>
      <x:c r="H1807" s="18" t="n">
        <x:f>H1806+G1807</x:f>
        <x:v>10201006.639999982</x:v>
      </x:c>
    </x:row>
    <x:row r="1808">
      <x:c r="A1808" s="20" t="n">
        <x:v>46198</x:v>
      </x:c>
      <x:c r="B1808" s="21" t="str">
        <x:v>DP-2026-028325</x:v>
      </x:c>
      <x:c r="C1808" s="21" t="str">
        <x:v>ACH PAYMENT - Dennis PLC - DP-2026-028325</x:v>
      </x:c>
      <x:c r="D1808" s="21" t="str">
        <x:v>Supplier payment</x:v>
      </x:c>
      <x:c r="E1808" s="18" t="n">
        <x:v>87.58</x:v>
      </x:c>
      <x:c r="F1808" s="18"/>
      <x:c r="G1808" s="18" t="n">
        <x:v>-87.58</x:v>
      </x:c>
      <x:c r="H1808" s="18" t="n">
        <x:f>H1807+G1808</x:f>
        <x:v>10200919.059999982</x:v>
      </x:c>
    </x:row>
    <x:row r="1809">
      <x:c r="A1809" s="20" t="n">
        <x:v>46198</x:v>
      </x:c>
      <x:c r="B1809" s="21" t="str">
        <x:v>DP-2026-028334</x:v>
      </x:c>
      <x:c r="C1809" s="21" t="str">
        <x:v>ACH PAYMENT - Brown-Owens - DP-2026-028334</x:v>
      </x:c>
      <x:c r="D1809" s="21" t="str">
        <x:v>Supplier payment</x:v>
      </x:c>
      <x:c r="E1809" s="18" t="n">
        <x:v>6298.61</x:v>
      </x:c>
      <x:c r="F1809" s="18"/>
      <x:c r="G1809" s="18" t="n">
        <x:v>-6298.61</x:v>
      </x:c>
      <x:c r="H1809" s="18" t="n">
        <x:f>H1808+G1809</x:f>
        <x:v>10194620.449999982</x:v>
      </x:c>
    </x:row>
    <x:row r="1810">
      <x:c r="A1810" s="20" t="n">
        <x:v>46198</x:v>
      </x:c>
      <x:c r="B1810" s="21" t="str">
        <x:v>DP-2026-028347</x:v>
      </x:c>
      <x:c r="C1810" s="21" t="str">
        <x:v>ACH PAYMENT - Munoz, Garcia and Olsen - DP-2026-028347</x:v>
      </x:c>
      <x:c r="D1810" s="21" t="str">
        <x:v>Supplier payment</x:v>
      </x:c>
      <x:c r="E1810" s="18" t="n">
        <x:v>6690.74</x:v>
      </x:c>
      <x:c r="F1810" s="18"/>
      <x:c r="G1810" s="18" t="n">
        <x:v>-6690.74</x:v>
      </x:c>
      <x:c r="H1810" s="18" t="n">
        <x:f>H1809+G1810</x:f>
        <x:v>10187929.709999982</x:v>
      </x:c>
    </x:row>
    <x:row r="1811">
      <x:c r="A1811" s="20" t="n">
        <x:v>46198</x:v>
      </x:c>
      <x:c r="B1811" s="21" t="str">
        <x:v>DP-2026-028364</x:v>
      </x:c>
      <x:c r="C1811" s="21" t="str">
        <x:v>ACH PAYMENT - Nash LLC - DP-2026-028364</x:v>
      </x:c>
      <x:c r="D1811" s="21" t="str">
        <x:v>Supplier payment</x:v>
      </x:c>
      <x:c r="E1811" s="18" t="n">
        <x:v>894.35</x:v>
      </x:c>
      <x:c r="F1811" s="18"/>
      <x:c r="G1811" s="18" t="n">
        <x:v>-894.35</x:v>
      </x:c>
      <x:c r="H1811" s="18" t="n">
        <x:f>H1810+G1811</x:f>
        <x:v>10187035.359999983</x:v>
      </x:c>
    </x:row>
    <x:row r="1812">
      <x:c r="A1812" s="20" t="n">
        <x:v>46198</x:v>
      </x:c>
      <x:c r="B1812" s="21" t="str">
        <x:v>DP-2026-028371</x:v>
      </x:c>
      <x:c r="C1812" s="21" t="str">
        <x:v>ACH PAYMENT - Diaz Group - DP-2026-028371</x:v>
      </x:c>
      <x:c r="D1812" s="21" t="str">
        <x:v>Supplier payment</x:v>
      </x:c>
      <x:c r="E1812" s="18" t="n">
        <x:v>352.45</x:v>
      </x:c>
      <x:c r="F1812" s="18"/>
      <x:c r="G1812" s="18" t="n">
        <x:v>-352.45</x:v>
      </x:c>
      <x:c r="H1812" s="18" t="n">
        <x:f>H1811+G1812</x:f>
        <x:v>10186682.909999983</x:v>
      </x:c>
    </x:row>
    <x:row r="1813">
      <x:c r="A1813" s="20" t="n">
        <x:v>46198</x:v>
      </x:c>
      <x:c r="B1813" s="21" t="str">
        <x:v>DP-2026-028390</x:v>
      </x:c>
      <x:c r="C1813" s="21" t="str">
        <x:v>WIRE TRANSFER PAYMENT - Turner PLC - DP-2026-028390</x:v>
      </x:c>
      <x:c r="D1813" s="21" t="str">
        <x:v>Supplier payment</x:v>
      </x:c>
      <x:c r="E1813" s="18" t="n">
        <x:v>643.95</x:v>
      </x:c>
      <x:c r="F1813" s="18"/>
      <x:c r="G1813" s="18" t="n">
        <x:v>-643.95</x:v>
      </x:c>
      <x:c r="H1813" s="18" t="n">
        <x:f>H1812+G1813</x:f>
        <x:v>10186038.959999984</x:v>
      </x:c>
    </x:row>
    <x:row r="1814">
      <x:c r="A1814" s="20" t="n">
        <x:v>46198</x:v>
      </x:c>
      <x:c r="B1814" s="21" t="str">
        <x:v>DP-2026-028394</x:v>
      </x:c>
      <x:c r="C1814" s="21" t="str">
        <x:v>ACH PAYMENT - Robinson Ltd - DP-2026-028394</x:v>
      </x:c>
      <x:c r="D1814" s="21" t="str">
        <x:v>Supplier payment</x:v>
      </x:c>
      <x:c r="E1814" s="18" t="n">
        <x:v>433.66</x:v>
      </x:c>
      <x:c r="F1814" s="18"/>
      <x:c r="G1814" s="18" t="n">
        <x:v>-433.66</x:v>
      </x:c>
      <x:c r="H1814" s="18" t="n">
        <x:f>H1813+G1814</x:f>
        <x:v>10185605.299999984</x:v>
      </x:c>
    </x:row>
    <x:row r="1815">
      <x:c r="A1815" s="20" t="n">
        <x:v>46198</x:v>
      </x:c>
      <x:c r="B1815" s="21" t="str">
        <x:v>DP-2026-028415</x:v>
      </x:c>
      <x:c r="C1815" s="21" t="str">
        <x:v>ACH PAYMENT - Henderson, Bennett and Pena - DP-2026-028415</x:v>
      </x:c>
      <x:c r="D1815" s="21" t="str">
        <x:v>Supplier payment</x:v>
      </x:c>
      <x:c r="E1815" s="18" t="n">
        <x:v>3225.13</x:v>
      </x:c>
      <x:c r="F1815" s="18"/>
      <x:c r="G1815" s="18" t="n">
        <x:v>-3225.13</x:v>
      </x:c>
      <x:c r="H1815" s="18" t="n">
        <x:f>H1814+G1815</x:f>
        <x:v>10182380.169999983</x:v>
      </x:c>
    </x:row>
    <x:row r="1816">
      <x:c r="A1816" s="20" t="n">
        <x:v>46198</x:v>
      </x:c>
      <x:c r="B1816" s="21" t="str">
        <x:v>DP-2026-028417</x:v>
      </x:c>
      <x:c r="C1816" s="21" t="str">
        <x:v>ACH PAYMENT - Nguyen-Davis - DP-2026-028417</x:v>
      </x:c>
      <x:c r="D1816" s="21" t="str">
        <x:v>Supplier payment</x:v>
      </x:c>
      <x:c r="E1816" s="18" t="n">
        <x:v>134.15</x:v>
      </x:c>
      <x:c r="F1816" s="18"/>
      <x:c r="G1816" s="18" t="n">
        <x:v>-134.15</x:v>
      </x:c>
      <x:c r="H1816" s="18" t="n">
        <x:f>H1815+G1816</x:f>
        <x:v>10182246.019999983</x:v>
      </x:c>
    </x:row>
    <x:row r="1817">
      <x:c r="A1817" s="20" t="n">
        <x:v>46198</x:v>
      </x:c>
      <x:c r="B1817" s="21" t="str">
        <x:v>DP-2026-028418</x:v>
      </x:c>
      <x:c r="C1817" s="21" t="str">
        <x:v>ACH PAYMENT - King Ltd - DP-2026-028418</x:v>
      </x:c>
      <x:c r="D1817" s="21" t="str">
        <x:v>Supplier payment</x:v>
      </x:c>
      <x:c r="E1817" s="18" t="n">
        <x:v>473.56</x:v>
      </x:c>
      <x:c r="F1817" s="18"/>
      <x:c r="G1817" s="18" t="n">
        <x:v>-473.56</x:v>
      </x:c>
      <x:c r="H1817" s="18" t="n">
        <x:f>H1816+G1817</x:f>
        <x:v>10181772.459999982</x:v>
      </x:c>
    </x:row>
    <x:row r="1818">
      <x:c r="A1818" s="20" t="n">
        <x:v>46198</x:v>
      </x:c>
      <x:c r="B1818" s="21" t="str">
        <x:v>DP-2026-028477</x:v>
      </x:c>
      <x:c r="C1818" s="21" t="str">
        <x:v>ACH PAYMENT - Lindsey and Sons - DP-2026-028477</x:v>
      </x:c>
      <x:c r="D1818" s="21" t="str">
        <x:v>Supplier payment</x:v>
      </x:c>
      <x:c r="E1818" s="18" t="n">
        <x:v>461.93</x:v>
      </x:c>
      <x:c r="F1818" s="18"/>
      <x:c r="G1818" s="18" t="n">
        <x:v>-461.93</x:v>
      </x:c>
      <x:c r="H1818" s="18" t="n">
        <x:f>H1817+G1818</x:f>
        <x:v>10181310.529999983</x:v>
      </x:c>
    </x:row>
    <x:row r="1819">
      <x:c r="A1819" s="20" t="n">
        <x:v>46198</x:v>
      </x:c>
      <x:c r="B1819" s="21" t="str">
        <x:v>DP-2026-028479</x:v>
      </x:c>
      <x:c r="C1819" s="21" t="str">
        <x:v>ACH PAYMENT - Brooks, Johnson and Olson - DP-2026-028479</x:v>
      </x:c>
      <x:c r="D1819" s="21" t="str">
        <x:v>Supplier payment</x:v>
      </x:c>
      <x:c r="E1819" s="18" t="n">
        <x:v>907.54</x:v>
      </x:c>
      <x:c r="F1819" s="18"/>
      <x:c r="G1819" s="18" t="n">
        <x:v>-907.54</x:v>
      </x:c>
      <x:c r="H1819" s="18" t="n">
        <x:f>H1818+G1819</x:f>
        <x:v>10180402.989999983</x:v>
      </x:c>
    </x:row>
    <x:row r="1820">
      <x:c r="A1820" s="20" t="n">
        <x:v>46198</x:v>
      </x:c>
      <x:c r="B1820" s="21" t="str">
        <x:v>DP-2026-028489</x:v>
      </x:c>
      <x:c r="C1820" s="21" t="str">
        <x:v>WIRE TRANSFER PAYMENT - Turner PLC - DP-2026-028489</x:v>
      </x:c>
      <x:c r="D1820" s="21" t="str">
        <x:v>Supplier payment</x:v>
      </x:c>
      <x:c r="E1820" s="18" t="n">
        <x:v>2919.05</x:v>
      </x:c>
      <x:c r="F1820" s="18"/>
      <x:c r="G1820" s="18" t="n">
        <x:v>-2919.05</x:v>
      </x:c>
      <x:c r="H1820" s="18" t="n">
        <x:f>H1819+G1820</x:f>
        <x:v>10177483.939999983</x:v>
      </x:c>
    </x:row>
    <x:row r="1821">
      <x:c r="A1821" s="20" t="n">
        <x:v>46198</x:v>
      </x:c>
      <x:c r="B1821" s="21" t="str">
        <x:v>DP-2026-028490</x:v>
      </x:c>
      <x:c r="C1821" s="21" t="str">
        <x:v>ACH PAYMENT - Coleman-Moore - DP-2026-028490</x:v>
      </x:c>
      <x:c r="D1821" s="21" t="str">
        <x:v>Supplier payment</x:v>
      </x:c>
      <x:c r="E1821" s="18" t="n">
        <x:v>398.43</x:v>
      </x:c>
      <x:c r="F1821" s="18"/>
      <x:c r="G1821" s="18" t="n">
        <x:v>-398.43</x:v>
      </x:c>
      <x:c r="H1821" s="18" t="n">
        <x:f>H1820+G1821</x:f>
        <x:v>10177085.509999983</x:v>
      </x:c>
    </x:row>
    <x:row r="1822">
      <x:c r="A1822" s="20" t="n">
        <x:v>46198</x:v>
      </x:c>
      <x:c r="B1822" s="21" t="str">
        <x:v>DP-2026-028494</x:v>
      </x:c>
      <x:c r="C1822" s="21" t="str">
        <x:v>ACH PAYMENT - Salas, Gallagher and Anderson - DP-2026-028494</x:v>
      </x:c>
      <x:c r="D1822" s="21" t="str">
        <x:v>Supplier payment</x:v>
      </x:c>
      <x:c r="E1822" s="18" t="n">
        <x:v>1782.63</x:v>
      </x:c>
      <x:c r="F1822" s="18"/>
      <x:c r="G1822" s="18" t="n">
        <x:v>-1782.63</x:v>
      </x:c>
      <x:c r="H1822" s="18" t="n">
        <x:f>H1821+G1822</x:f>
        <x:v>10175302.879999982</x:v>
      </x:c>
    </x:row>
    <x:row r="1823">
      <x:c r="A1823" s="20" t="n">
        <x:v>46198</x:v>
      </x:c>
      <x:c r="B1823" s="21" t="str">
        <x:v>DP-2026-028509</x:v>
      </x:c>
      <x:c r="C1823" s="21" t="str">
        <x:v>ACH PAYMENT - Hester Ltd - DP-2026-028509</x:v>
      </x:c>
      <x:c r="D1823" s="21" t="str">
        <x:v>Supplier payment</x:v>
      </x:c>
      <x:c r="E1823" s="18" t="n">
        <x:v>513</x:v>
      </x:c>
      <x:c r="F1823" s="18"/>
      <x:c r="G1823" s="18" t="n">
        <x:v>-513</x:v>
      </x:c>
      <x:c r="H1823" s="18" t="n">
        <x:f>H1822+G1823</x:f>
        <x:v>10174789.879999982</x:v>
      </x:c>
    </x:row>
    <x:row r="1824">
      <x:c r="A1824" s="20" t="n">
        <x:v>46198</x:v>
      </x:c>
      <x:c r="B1824" s="21" t="str">
        <x:v>DP-2026-028513</x:v>
      </x:c>
      <x:c r="C1824" s="21" t="str">
        <x:v>ACH PAYMENT - Hester Ltd - DP-2026-028513</x:v>
      </x:c>
      <x:c r="D1824" s="21" t="str">
        <x:v>Supplier payment</x:v>
      </x:c>
      <x:c r="E1824" s="18" t="n">
        <x:v>2489.56</x:v>
      </x:c>
      <x:c r="F1824" s="18"/>
      <x:c r="G1824" s="18" t="n">
        <x:v>-2489.56</x:v>
      </x:c>
      <x:c r="H1824" s="18" t="n">
        <x:f>H1823+G1824</x:f>
        <x:v>10172300.319999982</x:v>
      </x:c>
    </x:row>
    <x:row r="1825">
      <x:c r="A1825" s="20" t="n">
        <x:v>46198</x:v>
      </x:c>
      <x:c r="B1825" s="21" t="str">
        <x:v>DP-2026-028519</x:v>
      </x:c>
      <x:c r="C1825" s="21" t="str">
        <x:v>ACH PAYMENT - Peters, Terry and Zimmerman - DP-2026-028519</x:v>
      </x:c>
      <x:c r="D1825" s="21" t="str">
        <x:v>Supplier payment</x:v>
      </x:c>
      <x:c r="E1825" s="18" t="n">
        <x:v>198.17</x:v>
      </x:c>
      <x:c r="F1825" s="18"/>
      <x:c r="G1825" s="18" t="n">
        <x:v>-198.17</x:v>
      </x:c>
      <x:c r="H1825" s="18" t="n">
        <x:f>H1824+G1825</x:f>
        <x:v>10172102.149999982</x:v>
      </x:c>
    </x:row>
    <x:row r="1826">
      <x:c r="A1826" s="20" t="n">
        <x:v>46198</x:v>
      </x:c>
      <x:c r="B1826" s="21" t="str">
        <x:v>DP-2026-028522</x:v>
      </x:c>
      <x:c r="C1826" s="21" t="str">
        <x:v>ACH PAYMENT - Morris, Anderson and Chang - DP-2026-028522</x:v>
      </x:c>
      <x:c r="D1826" s="21" t="str">
        <x:v>Supplier payment</x:v>
      </x:c>
      <x:c r="E1826" s="18" t="n">
        <x:v>676.82</x:v>
      </x:c>
      <x:c r="F1826" s="18"/>
      <x:c r="G1826" s="18" t="n">
        <x:v>-676.82</x:v>
      </x:c>
      <x:c r="H1826" s="18" t="n">
        <x:f>H1825+G1826</x:f>
        <x:v>10171425.329999981</x:v>
      </x:c>
    </x:row>
    <x:row r="1827">
      <x:c r="A1827" s="20" t="n">
        <x:v>46198</x:v>
      </x:c>
      <x:c r="B1827" s="21" t="str">
        <x:v>DP-2026-028543</x:v>
      </x:c>
      <x:c r="C1827" s="21" t="str">
        <x:v>ACH PAYMENT - Gay, Clark and Hickman - DP-2026-028543</x:v>
      </x:c>
      <x:c r="D1827" s="21" t="str">
        <x:v>Supplier payment</x:v>
      </x:c>
      <x:c r="E1827" s="18" t="n">
        <x:v>438.59</x:v>
      </x:c>
      <x:c r="F1827" s="18"/>
      <x:c r="G1827" s="18" t="n">
        <x:v>-438.59</x:v>
      </x:c>
      <x:c r="H1827" s="18" t="n">
        <x:f>H1826+G1827</x:f>
        <x:v>10170986.739999982</x:v>
      </x:c>
    </x:row>
    <x:row r="1828">
      <x:c r="A1828" s="20" t="n">
        <x:v>46198</x:v>
      </x:c>
      <x:c r="B1828" s="21" t="str">
        <x:v>DP-2026-028561</x:v>
      </x:c>
      <x:c r="C1828" s="21" t="str">
        <x:v>WIRE TRANSFER PAYMENT - Morrison-Smith - DP-2026-028561</x:v>
      </x:c>
      <x:c r="D1828" s="21" t="str">
        <x:v>Supplier payment</x:v>
      </x:c>
      <x:c r="E1828" s="18" t="n">
        <x:v>48.02</x:v>
      </x:c>
      <x:c r="F1828" s="18"/>
      <x:c r="G1828" s="18" t="n">
        <x:v>-48.02</x:v>
      </x:c>
      <x:c r="H1828" s="18" t="n">
        <x:f>H1827+G1828</x:f>
        <x:v>10170938.719999982</x:v>
      </x:c>
    </x:row>
    <x:row r="1829">
      <x:c r="A1829" s="20" t="n">
        <x:v>46198</x:v>
      </x:c>
      <x:c r="B1829" s="21" t="str">
        <x:v>DP-2026-028563</x:v>
      </x:c>
      <x:c r="C1829" s="21" t="str">
        <x:v>ACH PAYMENT - Munoz, Garcia and Olsen - DP-2026-028563</x:v>
      </x:c>
      <x:c r="D1829" s="21" t="str">
        <x:v>Supplier payment</x:v>
      </x:c>
      <x:c r="E1829" s="18" t="n">
        <x:v>939.13</x:v>
      </x:c>
      <x:c r="F1829" s="18"/>
      <x:c r="G1829" s="18" t="n">
        <x:v>-939.13</x:v>
      </x:c>
      <x:c r="H1829" s="18" t="n">
        <x:f>H1828+G1829</x:f>
        <x:v>10169999.589999981</x:v>
      </x:c>
    </x:row>
    <x:row r="1830">
      <x:c r="A1830" s="20" t="n">
        <x:v>46198</x:v>
      </x:c>
      <x:c r="B1830" s="21" t="str">
        <x:v>DP-2026-028578</x:v>
      </x:c>
      <x:c r="C1830" s="21" t="str">
        <x:v>ACH PAYMENT - Peters, Terry and Zimmerman - DP-2026-028578</x:v>
      </x:c>
      <x:c r="D1830" s="21" t="str">
        <x:v>Supplier payment</x:v>
      </x:c>
      <x:c r="E1830" s="18" t="n">
        <x:v>803.52</x:v>
      </x:c>
      <x:c r="F1830" s="18"/>
      <x:c r="G1830" s="18" t="n">
        <x:v>-803.52</x:v>
      </x:c>
      <x:c r="H1830" s="18" t="n">
        <x:f>H1829+G1830</x:f>
        <x:v>10169196.069999982</x:v>
      </x:c>
    </x:row>
    <x:row r="1831">
      <x:c r="A1831" s="20" t="n">
        <x:v>46198</x:v>
      </x:c>
      <x:c r="B1831" s="21" t="str">
        <x:v>DP-2026-028579</x:v>
      </x:c>
      <x:c r="C1831" s="21" t="str">
        <x:v>ACH PAYMENT - Berger, Stanley and Cooper - DP-2026-028579</x:v>
      </x:c>
      <x:c r="D1831" s="21" t="str">
        <x:v>Supplier payment</x:v>
      </x:c>
      <x:c r="E1831" s="18" t="n">
        <x:v>1123.55</x:v>
      </x:c>
      <x:c r="F1831" s="18"/>
      <x:c r="G1831" s="18" t="n">
        <x:v>-1123.55</x:v>
      </x:c>
      <x:c r="H1831" s="18" t="n">
        <x:f>H1830+G1831</x:f>
        <x:v>10168072.51999998</x:v>
      </x:c>
    </x:row>
    <x:row r="1832">
      <x:c r="A1832" s="20" t="n">
        <x:v>46199</x:v>
      </x:c>
      <x:c r="B1832" s="21" t="str">
        <x:v>CHK0027187</x:v>
      </x:c>
      <x:c r="C1832" s="21" t="str">
        <x:v>CHECK PAYMENT - Coffey, Gross and Phelps - DP-2026-027187</x:v>
      </x:c>
      <x:c r="D1832" s="21" t="str">
        <x:v>Supplier payment</x:v>
      </x:c>
      <x:c r="E1832" s="18" t="n">
        <x:v>568.18</x:v>
      </x:c>
      <x:c r="F1832" s="18"/>
      <x:c r="G1832" s="18" t="n">
        <x:v>-568.18</x:v>
      </x:c>
      <x:c r="H1832" s="18" t="n">
        <x:f>H1831+G1832</x:f>
        <x:v>10167504.339999981</x:v>
      </x:c>
    </x:row>
    <x:row r="1833">
      <x:c r="A1833" s="20" t="n">
        <x:v>46199</x:v>
      </x:c>
      <x:c r="B1833" s="21" t="str">
        <x:v>CHK0027192</x:v>
      </x:c>
      <x:c r="C1833" s="21" t="str">
        <x:v>CHECK PAYMENT - Gordon and Sons - DP-2026-027192</x:v>
      </x:c>
      <x:c r="D1833" s="21" t="str">
        <x:v>Supplier payment</x:v>
      </x:c>
      <x:c r="E1833" s="18" t="n">
        <x:v>2255.94</x:v>
      </x:c>
      <x:c r="F1833" s="18"/>
      <x:c r="G1833" s="18" t="n">
        <x:v>-2255.94</x:v>
      </x:c>
      <x:c r="H1833" s="18" t="n">
        <x:f>H1832+G1833</x:f>
        <x:v>10165248.399999982</x:v>
      </x:c>
    </x:row>
    <x:row r="1834">
      <x:c r="A1834" s="20" t="n">
        <x:v>46199</x:v>
      </x:c>
      <x:c r="B1834" s="21" t="str">
        <x:v>CHK0027198</x:v>
      </x:c>
      <x:c r="C1834" s="21" t="str">
        <x:v>CHECK PAYMENT - Velasquez-Baxter - DP-2026-027198</x:v>
      </x:c>
      <x:c r="D1834" s="21" t="str">
        <x:v>Supplier payment</x:v>
      </x:c>
      <x:c r="E1834" s="18" t="n">
        <x:v>3348.53</x:v>
      </x:c>
      <x:c r="F1834" s="18"/>
      <x:c r="G1834" s="18" t="n">
        <x:v>-3348.53</x:v>
      </x:c>
      <x:c r="H1834" s="18" t="n">
        <x:f>H1833+G1834</x:f>
        <x:v>10161899.869999982</x:v>
      </x:c>
    </x:row>
    <x:row r="1835">
      <x:c r="A1835" s="20" t="n">
        <x:v>46199</x:v>
      </x:c>
      <x:c r="B1835" s="21" t="str">
        <x:v>CHK0028257</x:v>
      </x:c>
      <x:c r="C1835" s="21" t="str">
        <x:v>CHECK PAYMENT - Evans PLC - DP-2026-028257</x:v>
      </x:c>
      <x:c r="D1835" s="21" t="str">
        <x:v>Supplier payment</x:v>
      </x:c>
      <x:c r="E1835" s="18" t="n">
        <x:v>676.98</x:v>
      </x:c>
      <x:c r="F1835" s="18"/>
      <x:c r="G1835" s="18" t="n">
        <x:v>-676.98</x:v>
      </x:c>
      <x:c r="H1835" s="18" t="n">
        <x:f>H1834+G1835</x:f>
        <x:v>10161222.889999982</x:v>
      </x:c>
    </x:row>
    <x:row r="1836">
      <x:c r="A1836" s="20" t="n">
        <x:v>46199</x:v>
      </x:c>
      <x:c r="B1836" s="21" t="str">
        <x:v>CHK0028337</x:v>
      </x:c>
      <x:c r="C1836" s="21" t="str">
        <x:v>CHECK PAYMENT - Morrison-Smith - DP-2026-028337</x:v>
      </x:c>
      <x:c r="D1836" s="21" t="str">
        <x:v>Supplier payment</x:v>
      </x:c>
      <x:c r="E1836" s="18" t="n">
        <x:v>431.36</x:v>
      </x:c>
      <x:c r="F1836" s="18"/>
      <x:c r="G1836" s="18" t="n">
        <x:v>-431.36</x:v>
      </x:c>
      <x:c r="H1836" s="18" t="n">
        <x:f>H1835+G1836</x:f>
        <x:v>10160791.529999983</x:v>
      </x:c>
    </x:row>
    <x:row r="1837">
      <x:c r="A1837" s="20" t="n">
        <x:v>46199</x:v>
      </x:c>
      <x:c r="B1837" s="21" t="str">
        <x:v>CHK0028429</x:v>
      </x:c>
      <x:c r="C1837" s="21" t="str">
        <x:v>CHECK PAYMENT - Keith PLC - DP-2026-028429</x:v>
      </x:c>
      <x:c r="D1837" s="21" t="str">
        <x:v>Supplier payment</x:v>
      </x:c>
      <x:c r="E1837" s="18" t="n">
        <x:v>36.7</x:v>
      </x:c>
      <x:c r="F1837" s="18"/>
      <x:c r="G1837" s="18" t="n">
        <x:v>-36.7</x:v>
      </x:c>
      <x:c r="H1837" s="18" t="n">
        <x:f>H1836+G1837</x:f>
        <x:v>10160754.829999983</x:v>
      </x:c>
    </x:row>
    <x:row r="1838">
      <x:c r="A1838" s="20" t="n">
        <x:v>46199</x:v>
      </x:c>
      <x:c r="B1838" s="21" t="str">
        <x:v>CHK0028510</x:v>
      </x:c>
      <x:c r="C1838" s="21" t="str">
        <x:v>CHECK PAYMENT - Brooks, Johnson and Olson - DP-2026-028510</x:v>
      </x:c>
      <x:c r="D1838" s="21" t="str">
        <x:v>Supplier payment</x:v>
      </x:c>
      <x:c r="E1838" s="18" t="n">
        <x:v>87.07</x:v>
      </x:c>
      <x:c r="F1838" s="18"/>
      <x:c r="G1838" s="18" t="n">
        <x:v>-87.07</x:v>
      </x:c>
      <x:c r="H1838" s="18" t="n">
        <x:f>H1837+G1838</x:f>
        <x:v>10160667.759999983</x:v>
      </x:c>
    </x:row>
    <x:row r="1839">
      <x:c r="A1839" s="20" t="n">
        <x:v>46199</x:v>
      </x:c>
      <x:c r="B1839" s="21" t="str">
        <x:v>CHK0028542</x:v>
      </x:c>
      <x:c r="C1839" s="21" t="str">
        <x:v>CHECK PAYMENT - Velasquez-Baxter - DP-2026-028542</x:v>
      </x:c>
      <x:c r="D1839" s="21" t="str">
        <x:v>Supplier payment</x:v>
      </x:c>
      <x:c r="E1839" s="18" t="n">
        <x:v>214.83</x:v>
      </x:c>
      <x:c r="F1839" s="18"/>
      <x:c r="G1839" s="18" t="n">
        <x:v>-214.83</x:v>
      </x:c>
      <x:c r="H1839" s="18" t="n">
        <x:f>H1838+G1839</x:f>
        <x:v>10160452.929999983</x:v>
      </x:c>
    </x:row>
    <x:row r="1840">
      <x:c r="A1840" s="20" t="n">
        <x:v>46199</x:v>
      </x:c>
      <x:c r="B1840" s="21" t="str">
        <x:v>CHK0028576</x:v>
      </x:c>
      <x:c r="C1840" s="21" t="str">
        <x:v>CHECK PAYMENT - Hester Ltd - DP-2026-028576</x:v>
      </x:c>
      <x:c r="D1840" s="21" t="str">
        <x:v>Supplier payment</x:v>
      </x:c>
      <x:c r="E1840" s="18" t="n">
        <x:v>3289.3</x:v>
      </x:c>
      <x:c r="F1840" s="18"/>
      <x:c r="G1840" s="18" t="n">
        <x:v>-3289.3</x:v>
      </x:c>
      <x:c r="H1840" s="18" t="n">
        <x:f>H1839+G1840</x:f>
        <x:v>10157163.629999982</x:v>
      </x:c>
    </x:row>
    <x:row r="1841">
      <x:c r="A1841" s="20" t="n">
        <x:v>46199</x:v>
      </x:c>
      <x:c r="B1841" s="21" t="str">
        <x:v>CHK0028611</x:v>
      </x:c>
      <x:c r="C1841" s="21" t="str">
        <x:v>CHECK PAYMENT - Lindsey and Sons - DP-2026-028611</x:v>
      </x:c>
      <x:c r="D1841" s="21" t="str">
        <x:v>Supplier payment</x:v>
      </x:c>
      <x:c r="E1841" s="18" t="n">
        <x:v>14.27</x:v>
      </x:c>
      <x:c r="F1841" s="18"/>
      <x:c r="G1841" s="18" t="n">
        <x:v>-14.27</x:v>
      </x:c>
      <x:c r="H1841" s="18" t="n">
        <x:f>H1840+G1841</x:f>
        <x:v>10157149.359999983</x:v>
      </x:c>
    </x:row>
    <x:row r="1842">
      <x:c r="A1842" s="20" t="n">
        <x:v>46199</x:v>
      </x:c>
      <x:c r="B1842" s="21" t="str">
        <x:v>DP-2026-027186</x:v>
      </x:c>
      <x:c r="C1842" s="21" t="str">
        <x:v>ACH PAYMENT - Silva, Burton and Arnold - DP-2026-027186</x:v>
      </x:c>
      <x:c r="D1842" s="21" t="str">
        <x:v>Supplier payment</x:v>
      </x:c>
      <x:c r="E1842" s="18" t="n">
        <x:v>376.08</x:v>
      </x:c>
      <x:c r="F1842" s="18"/>
      <x:c r="G1842" s="18" t="n">
        <x:v>-376.08</x:v>
      </x:c>
      <x:c r="H1842" s="18" t="n">
        <x:f>H1841+G1842</x:f>
        <x:v>10156773.279999983</x:v>
      </x:c>
    </x:row>
    <x:row r="1843">
      <x:c r="A1843" s="20" t="n">
        <x:v>46199</x:v>
      </x:c>
      <x:c r="B1843" s="21" t="str">
        <x:v>DP-2026-027201</x:v>
      </x:c>
      <x:c r="C1843" s="21" t="str">
        <x:v>ACH PAYMENT - Hale-Hart - DP-2026-027201</x:v>
      </x:c>
      <x:c r="D1843" s="21" t="str">
        <x:v>Supplier payment</x:v>
      </x:c>
      <x:c r="E1843" s="18" t="n">
        <x:v>170.61</x:v>
      </x:c>
      <x:c r="F1843" s="18"/>
      <x:c r="G1843" s="18" t="n">
        <x:v>-170.61</x:v>
      </x:c>
      <x:c r="H1843" s="18" t="n">
        <x:f>H1842+G1843</x:f>
        <x:v>10156602.669999983</x:v>
      </x:c>
    </x:row>
    <x:row r="1844">
      <x:c r="A1844" s="20" t="n">
        <x:v>46199</x:v>
      </x:c>
      <x:c r="B1844" s="21" t="str">
        <x:v>DP-2026-027217</x:v>
      </x:c>
      <x:c r="C1844" s="21" t="str">
        <x:v>ACH PAYMENT - Duncan-Dawson - DP-2026-027217</x:v>
      </x:c>
      <x:c r="D1844" s="21" t="str">
        <x:v>Supplier payment</x:v>
      </x:c>
      <x:c r="E1844" s="18" t="n">
        <x:v>1795.88</x:v>
      </x:c>
      <x:c r="F1844" s="18"/>
      <x:c r="G1844" s="18" t="n">
        <x:v>-1795.88</x:v>
      </x:c>
      <x:c r="H1844" s="18" t="n">
        <x:f>H1843+G1844</x:f>
        <x:v>10154806.789999982</x:v>
      </x:c>
    </x:row>
    <x:row r="1845">
      <x:c r="A1845" s="20" t="n">
        <x:v>46199</x:v>
      </x:c>
      <x:c r="B1845" s="21" t="str">
        <x:v>DP-2026-027218</x:v>
      </x:c>
      <x:c r="C1845" s="21" t="str">
        <x:v>ACH PAYMENT - Bell, Pruitt and David - DP-2026-027218</x:v>
      </x:c>
      <x:c r="D1845" s="21" t="str">
        <x:v>Supplier payment</x:v>
      </x:c>
      <x:c r="E1845" s="18" t="n">
        <x:v>755.99</x:v>
      </x:c>
      <x:c r="F1845" s="18"/>
      <x:c r="G1845" s="18" t="n">
        <x:v>-755.99</x:v>
      </x:c>
      <x:c r="H1845" s="18" t="n">
        <x:f>H1844+G1845</x:f>
        <x:v>10154050.799999982</x:v>
      </x:c>
    </x:row>
    <x:row r="1846">
      <x:c r="A1846" s="20" t="n">
        <x:v>46199</x:v>
      </x:c>
      <x:c r="B1846" s="21" t="str">
        <x:v>DP-2026-028248</x:v>
      </x:c>
      <x:c r="C1846" s="21" t="str">
        <x:v>ACH PAYMENT - Bell, Pruitt and David - DP-2026-028248</x:v>
      </x:c>
      <x:c r="D1846" s="21" t="str">
        <x:v>Supplier payment</x:v>
      </x:c>
      <x:c r="E1846" s="18" t="n">
        <x:v>10.36</x:v>
      </x:c>
      <x:c r="F1846" s="18"/>
      <x:c r="G1846" s="18" t="n">
        <x:v>-10.36</x:v>
      </x:c>
      <x:c r="H1846" s="18" t="n">
        <x:f>H1845+G1846</x:f>
        <x:v>10154040.439999983</x:v>
      </x:c>
    </x:row>
    <x:row r="1847">
      <x:c r="A1847" s="20" t="n">
        <x:v>46199</x:v>
      </x:c>
      <x:c r="B1847" s="21" t="str">
        <x:v>DP-2026-028252</x:v>
      </x:c>
      <x:c r="C1847" s="21" t="str">
        <x:v>WIRE TRANSFER PAYMENT - Berger, Stanley and Cooper - DP-2026-028252</x:v>
      </x:c>
      <x:c r="D1847" s="21" t="str">
        <x:v>Supplier payment</x:v>
      </x:c>
      <x:c r="E1847" s="18" t="n">
        <x:v>488.72</x:v>
      </x:c>
      <x:c r="F1847" s="18"/>
      <x:c r="G1847" s="18" t="n">
        <x:v>-488.72</x:v>
      </x:c>
      <x:c r="H1847" s="18" t="n">
        <x:f>H1846+G1847</x:f>
        <x:v>10153551.719999982</x:v>
      </x:c>
    </x:row>
    <x:row r="1848">
      <x:c r="A1848" s="20" t="n">
        <x:v>46199</x:v>
      </x:c>
      <x:c r="B1848" s="21" t="str">
        <x:v>DP-2026-028281</x:v>
      </x:c>
      <x:c r="C1848" s="21" t="str">
        <x:v>ACH PAYMENT - Kelly-Bradshaw - DP-2026-028281</x:v>
      </x:c>
      <x:c r="D1848" s="21" t="str">
        <x:v>Supplier payment</x:v>
      </x:c>
      <x:c r="E1848" s="18" t="n">
        <x:v>1681.92</x:v>
      </x:c>
      <x:c r="F1848" s="18"/>
      <x:c r="G1848" s="18" t="n">
        <x:v>-1681.92</x:v>
      </x:c>
      <x:c r="H1848" s="18" t="n">
        <x:f>H1847+G1848</x:f>
        <x:v>10151869.799999982</x:v>
      </x:c>
    </x:row>
    <x:row r="1849">
      <x:c r="A1849" s="20" t="n">
        <x:v>46199</x:v>
      </x:c>
      <x:c r="B1849" s="21" t="str">
        <x:v>DP-2026-028286</x:v>
      </x:c>
      <x:c r="C1849" s="21" t="str">
        <x:v>ACH PAYMENT - Dennis PLC - DP-2026-028286</x:v>
      </x:c>
      <x:c r="D1849" s="21" t="str">
        <x:v>Supplier payment</x:v>
      </x:c>
      <x:c r="E1849" s="18" t="n">
        <x:v>511.47</x:v>
      </x:c>
      <x:c r="F1849" s="18"/>
      <x:c r="G1849" s="18" t="n">
        <x:v>-511.47</x:v>
      </x:c>
      <x:c r="H1849" s="18" t="n">
        <x:f>H1848+G1849</x:f>
        <x:v>10151358.329999981</x:v>
      </x:c>
    </x:row>
    <x:row r="1850">
      <x:c r="A1850" s="20" t="n">
        <x:v>46199</x:v>
      </x:c>
      <x:c r="B1850" s="21" t="str">
        <x:v>DP-2026-028287</x:v>
      </x:c>
      <x:c r="C1850" s="21" t="str">
        <x:v>ACH PAYMENT - Colon LLC - DP-2026-028287</x:v>
      </x:c>
      <x:c r="D1850" s="21" t="str">
        <x:v>Supplier payment</x:v>
      </x:c>
      <x:c r="E1850" s="18" t="n">
        <x:v>513.11</x:v>
      </x:c>
      <x:c r="F1850" s="18"/>
      <x:c r="G1850" s="18" t="n">
        <x:v>-513.11</x:v>
      </x:c>
      <x:c r="H1850" s="18" t="n">
        <x:f>H1849+G1850</x:f>
        <x:v>10150845.219999982</x:v>
      </x:c>
    </x:row>
    <x:row r="1851">
      <x:c r="A1851" s="20" t="n">
        <x:v>46199</x:v>
      </x:c>
      <x:c r="B1851" s="21" t="str">
        <x:v>DP-2026-028303</x:v>
      </x:c>
      <x:c r="C1851" s="21" t="str">
        <x:v>ACH PAYMENT - Peters, Terry and Zimmerman - DP-2026-028303</x:v>
      </x:c>
      <x:c r="D1851" s="21" t="str">
        <x:v>Supplier payment</x:v>
      </x:c>
      <x:c r="E1851" s="18" t="n">
        <x:v>772.05</x:v>
      </x:c>
      <x:c r="F1851" s="18"/>
      <x:c r="G1851" s="18" t="n">
        <x:v>-772.05</x:v>
      </x:c>
      <x:c r="H1851" s="18" t="n">
        <x:f>H1850+G1851</x:f>
        <x:v>10150073.169999981</x:v>
      </x:c>
    </x:row>
    <x:row r="1852">
      <x:c r="A1852" s="20" t="n">
        <x:v>46199</x:v>
      </x:c>
      <x:c r="B1852" s="21" t="str">
        <x:v>DP-2026-028306</x:v>
      </x:c>
      <x:c r="C1852" s="21" t="str">
        <x:v>ACH PAYMENT - Silva, Burton and Arnold - DP-2026-028306</x:v>
      </x:c>
      <x:c r="D1852" s="21" t="str">
        <x:v>Supplier payment</x:v>
      </x:c>
      <x:c r="E1852" s="18" t="n">
        <x:v>685.1</x:v>
      </x:c>
      <x:c r="F1852" s="18"/>
      <x:c r="G1852" s="18" t="n">
        <x:v>-685.1</x:v>
      </x:c>
      <x:c r="H1852" s="18" t="n">
        <x:f>H1851+G1852</x:f>
        <x:v>10149388.069999982</x:v>
      </x:c>
    </x:row>
    <x:row r="1853">
      <x:c r="A1853" s="20" t="n">
        <x:v>46199</x:v>
      </x:c>
      <x:c r="B1853" s="21" t="str">
        <x:v>DP-2026-028307</x:v>
      </x:c>
      <x:c r="C1853" s="21" t="str">
        <x:v>ACH PAYMENT - Duran, Mccarthy and Myers - DP-2026-028307</x:v>
      </x:c>
      <x:c r="D1853" s="21" t="str">
        <x:v>Supplier payment</x:v>
      </x:c>
      <x:c r="E1853" s="18" t="n">
        <x:v>83.25</x:v>
      </x:c>
      <x:c r="F1853" s="18"/>
      <x:c r="G1853" s="18" t="n">
        <x:v>-83.25</x:v>
      </x:c>
      <x:c r="H1853" s="18" t="n">
        <x:f>H1852+G1853</x:f>
        <x:v>10149304.819999982</x:v>
      </x:c>
    </x:row>
    <x:row r="1854">
      <x:c r="A1854" s="20" t="n">
        <x:v>46199</x:v>
      </x:c>
      <x:c r="B1854" s="21" t="str">
        <x:v>DP-2026-028322</x:v>
      </x:c>
      <x:c r="C1854" s="21" t="str">
        <x:v>ACH PAYMENT - Simmons, Tucker and Huang - DP-2026-028322</x:v>
      </x:c>
      <x:c r="D1854" s="21" t="str">
        <x:v>Supplier payment</x:v>
      </x:c>
      <x:c r="E1854" s="18" t="n">
        <x:v>2192.49</x:v>
      </x:c>
      <x:c r="F1854" s="18"/>
      <x:c r="G1854" s="18" t="n">
        <x:v>-2192.49</x:v>
      </x:c>
      <x:c r="H1854" s="18" t="n">
        <x:f>H1853+G1854</x:f>
        <x:v>10147112.329999981</x:v>
      </x:c>
    </x:row>
    <x:row r="1855">
      <x:c r="A1855" s="20" t="n">
        <x:v>46199</x:v>
      </x:c>
      <x:c r="B1855" s="21" t="str">
        <x:v>DP-2026-028327</x:v>
      </x:c>
      <x:c r="C1855" s="21" t="str">
        <x:v>ACH PAYMENT - Nash LLC - DP-2026-028327</x:v>
      </x:c>
      <x:c r="D1855" s="21" t="str">
        <x:v>Supplier payment</x:v>
      </x:c>
      <x:c r="E1855" s="18" t="n">
        <x:v>117.13</x:v>
      </x:c>
      <x:c r="F1855" s="18"/>
      <x:c r="G1855" s="18" t="n">
        <x:v>-117.13</x:v>
      </x:c>
      <x:c r="H1855" s="18" t="n">
        <x:f>H1854+G1855</x:f>
        <x:v>10146995.19999998</x:v>
      </x:c>
    </x:row>
    <x:row r="1856">
      <x:c r="A1856" s="20" t="n">
        <x:v>46199</x:v>
      </x:c>
      <x:c r="B1856" s="21" t="str">
        <x:v>DP-2026-028360</x:v>
      </x:c>
      <x:c r="C1856" s="21" t="str">
        <x:v>ACH PAYMENT - Sweeney PLC - DP-2026-028360</x:v>
      </x:c>
      <x:c r="D1856" s="21" t="str">
        <x:v>Supplier payment</x:v>
      </x:c>
      <x:c r="E1856" s="18" t="n">
        <x:v>1216.03</x:v>
      </x:c>
      <x:c r="F1856" s="18"/>
      <x:c r="G1856" s="18" t="n">
        <x:v>-1216.03</x:v>
      </x:c>
      <x:c r="H1856" s="18" t="n">
        <x:f>H1855+G1856</x:f>
        <x:v>10145779.169999981</x:v>
      </x:c>
    </x:row>
    <x:row r="1857">
      <x:c r="A1857" s="20" t="n">
        <x:v>46199</x:v>
      </x:c>
      <x:c r="B1857" s="21" t="str">
        <x:v>DP-2026-028368</x:v>
      </x:c>
      <x:c r="C1857" s="21" t="str">
        <x:v>ACH PAYMENT - Wright, Sanchez and Garza - DP-2026-028368</x:v>
      </x:c>
      <x:c r="D1857" s="21" t="str">
        <x:v>Supplier payment</x:v>
      </x:c>
      <x:c r="E1857" s="18" t="n">
        <x:v>740.17</x:v>
      </x:c>
      <x:c r="F1857" s="18"/>
      <x:c r="G1857" s="18" t="n">
        <x:v>-740.17</x:v>
      </x:c>
      <x:c r="H1857" s="18" t="n">
        <x:f>H1856+G1857</x:f>
        <x:v>10145038.999999981</x:v>
      </x:c>
    </x:row>
    <x:row r="1858">
      <x:c r="A1858" s="20" t="n">
        <x:v>46199</x:v>
      </x:c>
      <x:c r="B1858" s="21" t="str">
        <x:v>DP-2026-028378</x:v>
      </x:c>
      <x:c r="C1858" s="21" t="str">
        <x:v>ACH PAYMENT - Peters, Terry and Zimmerman - DP-2026-028378</x:v>
      </x:c>
      <x:c r="D1858" s="21" t="str">
        <x:v>Supplier payment</x:v>
      </x:c>
      <x:c r="E1858" s="18" t="n">
        <x:v>122.6</x:v>
      </x:c>
      <x:c r="F1858" s="18"/>
      <x:c r="G1858" s="18" t="n">
        <x:v>-122.6</x:v>
      </x:c>
      <x:c r="H1858" s="18" t="n">
        <x:f>H1857+G1858</x:f>
        <x:v>10144916.399999982</x:v>
      </x:c>
    </x:row>
    <x:row r="1859">
      <x:c r="A1859" s="20" t="n">
        <x:v>46199</x:v>
      </x:c>
      <x:c r="B1859" s="21" t="str">
        <x:v>DP-2026-028386</x:v>
      </x:c>
      <x:c r="C1859" s="21" t="str">
        <x:v>ACH PAYMENT - Rodriguez, Myers and Grimes - DP-2026-028386</x:v>
      </x:c>
      <x:c r="D1859" s="21" t="str">
        <x:v>Supplier payment</x:v>
      </x:c>
      <x:c r="E1859" s="18" t="n">
        <x:v>0.48</x:v>
      </x:c>
      <x:c r="F1859" s="18"/>
      <x:c r="G1859" s="18" t="n">
        <x:v>-0.48</x:v>
      </x:c>
      <x:c r="H1859" s="18" t="n">
        <x:f>H1858+G1859</x:f>
        <x:v>10144915.919999981</x:v>
      </x:c>
    </x:row>
    <x:row r="1860">
      <x:c r="A1860" s="20" t="n">
        <x:v>46199</x:v>
      </x:c>
      <x:c r="B1860" s="21" t="str">
        <x:v>DP-2026-028406</x:v>
      </x:c>
      <x:c r="C1860" s="21" t="str">
        <x:v>WIRE TRANSFER PAYMENT - Hale-Hart - DP-2026-028406</x:v>
      </x:c>
      <x:c r="D1860" s="21" t="str">
        <x:v>Supplier payment</x:v>
      </x:c>
      <x:c r="E1860" s="18" t="n">
        <x:v>1382.47</x:v>
      </x:c>
      <x:c r="F1860" s="18"/>
      <x:c r="G1860" s="18" t="n">
        <x:v>-1382.47</x:v>
      </x:c>
      <x:c r="H1860" s="18" t="n">
        <x:f>H1859+G1860</x:f>
        <x:v>10143533.44999998</x:v>
      </x:c>
    </x:row>
    <x:row r="1861">
      <x:c r="A1861" s="20" t="n">
        <x:v>46199</x:v>
      </x:c>
      <x:c r="B1861" s="21" t="str">
        <x:v>DP-2026-028427</x:v>
      </x:c>
      <x:c r="C1861" s="21" t="str">
        <x:v>ACH PAYMENT - Hansen-Kaufman - DP-2026-028427</x:v>
      </x:c>
      <x:c r="D1861" s="21" t="str">
        <x:v>Supplier payment</x:v>
      </x:c>
      <x:c r="E1861" s="18" t="n">
        <x:v>1165.19</x:v>
      </x:c>
      <x:c r="F1861" s="18"/>
      <x:c r="G1861" s="18" t="n">
        <x:v>-1165.19</x:v>
      </x:c>
      <x:c r="H1861" s="18" t="n">
        <x:f>H1860+G1861</x:f>
        <x:v>10142368.259999981</x:v>
      </x:c>
    </x:row>
    <x:row r="1862">
      <x:c r="A1862" s="20" t="n">
        <x:v>46199</x:v>
      </x:c>
      <x:c r="B1862" s="21" t="str">
        <x:v>DP-2026-028432</x:v>
      </x:c>
      <x:c r="C1862" s="21" t="str">
        <x:v>ACH PAYMENT - Simmons, Tucker and Huang - DP-2026-028432</x:v>
      </x:c>
      <x:c r="D1862" s="21" t="str">
        <x:v>Supplier payment</x:v>
      </x:c>
      <x:c r="E1862" s="18" t="n">
        <x:v>348.41</x:v>
      </x:c>
      <x:c r="F1862" s="18"/>
      <x:c r="G1862" s="18" t="n">
        <x:v>-348.41</x:v>
      </x:c>
      <x:c r="H1862" s="18" t="n">
        <x:f>H1861+G1862</x:f>
        <x:v>10142019.849999981</x:v>
      </x:c>
    </x:row>
    <x:row r="1863">
      <x:c r="A1863" s="20" t="n">
        <x:v>46199</x:v>
      </x:c>
      <x:c r="B1863" s="21" t="str">
        <x:v>DP-2026-028438</x:v>
      </x:c>
      <x:c r="C1863" s="21" t="str">
        <x:v>ACH PAYMENT - Wright, Sanchez and Garza - DP-2026-028438</x:v>
      </x:c>
      <x:c r="D1863" s="21" t="str">
        <x:v>Supplier payment</x:v>
      </x:c>
      <x:c r="E1863" s="18" t="n">
        <x:v>4141.41</x:v>
      </x:c>
      <x:c r="F1863" s="18"/>
      <x:c r="G1863" s="18" t="n">
        <x:v>-4141.41</x:v>
      </x:c>
      <x:c r="H1863" s="18" t="n">
        <x:f>H1862+G1863</x:f>
        <x:v>10137878.43999998</x:v>
      </x:c>
    </x:row>
    <x:row r="1864">
      <x:c r="A1864" s="20" t="n">
        <x:v>46199</x:v>
      </x:c>
      <x:c r="B1864" s="21" t="str">
        <x:v>DP-2026-028452</x:v>
      </x:c>
      <x:c r="C1864" s="21" t="str">
        <x:v>ACH PAYMENT - Hester Ltd - DP-2026-028452</x:v>
      </x:c>
      <x:c r="D1864" s="21" t="str">
        <x:v>Supplier payment</x:v>
      </x:c>
      <x:c r="E1864" s="18" t="n">
        <x:v>120.04</x:v>
      </x:c>
      <x:c r="F1864" s="18"/>
      <x:c r="G1864" s="18" t="n">
        <x:v>-120.04</x:v>
      </x:c>
      <x:c r="H1864" s="18" t="n">
        <x:f>H1863+G1864</x:f>
        <x:v>10137758.399999982</x:v>
      </x:c>
    </x:row>
    <x:row r="1865">
      <x:c r="A1865" s="20" t="n">
        <x:v>46199</x:v>
      </x:c>
      <x:c r="B1865" s="21" t="str">
        <x:v>DP-2026-028459</x:v>
      </x:c>
      <x:c r="C1865" s="21" t="str">
        <x:v>WIRE TRANSFER PAYMENT - Lindsey and Sons - DP-2026-028459</x:v>
      </x:c>
      <x:c r="D1865" s="21" t="str">
        <x:v>Supplier payment</x:v>
      </x:c>
      <x:c r="E1865" s="18" t="n">
        <x:v>491.06</x:v>
      </x:c>
      <x:c r="F1865" s="18"/>
      <x:c r="G1865" s="18" t="n">
        <x:v>-491.06</x:v>
      </x:c>
      <x:c r="H1865" s="18" t="n">
        <x:f>H1864+G1865</x:f>
        <x:v>10137267.339999981</x:v>
      </x:c>
    </x:row>
    <x:row r="1866">
      <x:c r="A1866" s="20" t="n">
        <x:v>46199</x:v>
      </x:c>
      <x:c r="B1866" s="21" t="str">
        <x:v>DP-2026-028462</x:v>
      </x:c>
      <x:c r="C1866" s="21" t="str">
        <x:v>ACH PAYMENT - Chambers PLC - DP-2026-028462</x:v>
      </x:c>
      <x:c r="D1866" s="21" t="str">
        <x:v>Supplier payment</x:v>
      </x:c>
      <x:c r="E1866" s="18" t="n">
        <x:v>235.77</x:v>
      </x:c>
      <x:c r="F1866" s="18"/>
      <x:c r="G1866" s="18" t="n">
        <x:v>-235.77</x:v>
      </x:c>
      <x:c r="H1866" s="18" t="n">
        <x:f>H1865+G1866</x:f>
        <x:v>10137031.569999982</x:v>
      </x:c>
    </x:row>
    <x:row r="1867">
      <x:c r="A1867" s="20" t="n">
        <x:v>46199</x:v>
      </x:c>
      <x:c r="B1867" s="21" t="str">
        <x:v>DP-2026-028470</x:v>
      </x:c>
      <x:c r="C1867" s="21" t="str">
        <x:v>WIRE TRANSFER PAYMENT - Hernandez, Melendez and Mcdowell - DP-2026-028470</x:v>
      </x:c>
      <x:c r="D1867" s="21" t="str">
        <x:v>Supplier payment</x:v>
      </x:c>
      <x:c r="E1867" s="18" t="n">
        <x:v>1726.61</x:v>
      </x:c>
      <x:c r="F1867" s="18"/>
      <x:c r="G1867" s="18" t="n">
        <x:v>-1726.61</x:v>
      </x:c>
      <x:c r="H1867" s="18" t="n">
        <x:f>H1866+G1867</x:f>
        <x:v>10135304.959999982</x:v>
      </x:c>
    </x:row>
    <x:row r="1868">
      <x:c r="A1868" s="20" t="n">
        <x:v>46199</x:v>
      </x:c>
      <x:c r="B1868" s="21" t="str">
        <x:v>DP-2026-028482</x:v>
      </x:c>
      <x:c r="C1868" s="21" t="str">
        <x:v>ACH PAYMENT - Davis-Grant - DP-2026-028482</x:v>
      </x:c>
      <x:c r="D1868" s="21" t="str">
        <x:v>Supplier payment</x:v>
      </x:c>
      <x:c r="E1868" s="18" t="n">
        <x:v>657.06</x:v>
      </x:c>
      <x:c r="F1868" s="18"/>
      <x:c r="G1868" s="18" t="n">
        <x:v>-657.06</x:v>
      </x:c>
      <x:c r="H1868" s="18" t="n">
        <x:f>H1867+G1868</x:f>
        <x:v>10134647.899999982</x:v>
      </x:c>
    </x:row>
    <x:row r="1869">
      <x:c r="A1869" s="20" t="n">
        <x:v>46199</x:v>
      </x:c>
      <x:c r="B1869" s="21" t="str">
        <x:v>DP-2026-028502</x:v>
      </x:c>
      <x:c r="C1869" s="21" t="str">
        <x:v>ACH PAYMENT - Colon LLC - DP-2026-028502</x:v>
      </x:c>
      <x:c r="D1869" s="21" t="str">
        <x:v>Supplier payment</x:v>
      </x:c>
      <x:c r="E1869" s="18" t="n">
        <x:v>375.13</x:v>
      </x:c>
      <x:c r="F1869" s="18"/>
      <x:c r="G1869" s="18" t="n">
        <x:v>-375.13</x:v>
      </x:c>
      <x:c r="H1869" s="18" t="n">
        <x:f>H1868+G1869</x:f>
        <x:v>10134272.76999998</x:v>
      </x:c>
    </x:row>
    <x:row r="1870">
      <x:c r="A1870" s="20" t="n">
        <x:v>46199</x:v>
      </x:c>
      <x:c r="B1870" s="21" t="str">
        <x:v>DP-2026-028556</x:v>
      </x:c>
      <x:c r="C1870" s="21" t="str">
        <x:v>ACH PAYMENT - Murphy, Williams and Sanders - DP-2026-028556</x:v>
      </x:c>
      <x:c r="D1870" s="21" t="str">
        <x:v>Supplier payment</x:v>
      </x:c>
      <x:c r="E1870" s="18" t="n">
        <x:v>447.24</x:v>
      </x:c>
      <x:c r="F1870" s="18"/>
      <x:c r="G1870" s="18" t="n">
        <x:v>-447.24</x:v>
      </x:c>
      <x:c r="H1870" s="18" t="n">
        <x:f>H1869+G1870</x:f>
        <x:v>10133825.52999998</x:v>
      </x:c>
    </x:row>
    <x:row r="1871">
      <x:c r="A1871" s="20" t="n">
        <x:v>46199</x:v>
      </x:c>
      <x:c r="B1871" s="21" t="str">
        <x:v>DP-2026-028573</x:v>
      </x:c>
      <x:c r="C1871" s="21" t="str">
        <x:v>ACH PAYMENT - Gomez PLC - DP-2026-028573</x:v>
      </x:c>
      <x:c r="D1871" s="21" t="str">
        <x:v>Supplier payment</x:v>
      </x:c>
      <x:c r="E1871" s="18" t="n">
        <x:v>1214.39</x:v>
      </x:c>
      <x:c r="F1871" s="18"/>
      <x:c r="G1871" s="18" t="n">
        <x:v>-1214.39</x:v>
      </x:c>
      <x:c r="H1871" s="18" t="n">
        <x:f>H1870+G1871</x:f>
        <x:v>10132611.13999998</x:v>
      </x:c>
    </x:row>
    <x:row r="1872">
      <x:c r="A1872" s="20" t="n">
        <x:v>46199</x:v>
      </x:c>
      <x:c r="B1872" s="21" t="str">
        <x:v>DP-2026-028603</x:v>
      </x:c>
      <x:c r="C1872" s="21" t="str">
        <x:v>ACH PAYMENT - Lindsey and Sons - DP-2026-028603</x:v>
      </x:c>
      <x:c r="D1872" s="21" t="str">
        <x:v>Supplier payment</x:v>
      </x:c>
      <x:c r="E1872" s="18" t="n">
        <x:v>189.03</x:v>
      </x:c>
      <x:c r="F1872" s="18"/>
      <x:c r="G1872" s="18" t="n">
        <x:v>-189.03</x:v>
      </x:c>
      <x:c r="H1872" s="18" t="n">
        <x:f>H1871+G1872</x:f>
        <x:v>10132422.10999998</x:v>
      </x:c>
    </x:row>
    <x:row r="1873">
      <x:c r="A1873" s="20" t="n">
        <x:v>46199</x:v>
      </x:c>
      <x:c r="B1873" s="21" t="str">
        <x:v>DP-2026-028604</x:v>
      </x:c>
      <x:c r="C1873" s="21" t="str">
        <x:v>ACH PAYMENT - Gay, Clark and Hickman - DP-2026-028604</x:v>
      </x:c>
      <x:c r="D1873" s="21" t="str">
        <x:v>Supplier payment</x:v>
      </x:c>
      <x:c r="E1873" s="18" t="n">
        <x:v>1020.15</x:v>
      </x:c>
      <x:c r="F1873" s="18"/>
      <x:c r="G1873" s="18" t="n">
        <x:v>-1020.15</x:v>
      </x:c>
      <x:c r="H1873" s="18" t="n">
        <x:f>H1872+G1873</x:f>
        <x:v>10131401.95999998</x:v>
      </x:c>
    </x:row>
    <x:row r="1874">
      <x:c r="A1874" s="20" t="n">
        <x:v>46199</x:v>
      </x:c>
      <x:c r="B1874" s="21" t="str">
        <x:v>DP-2026-028618</x:v>
      </x:c>
      <x:c r="C1874" s="21" t="str">
        <x:v>ACH PAYMENT - Potter-Gross - DP-2026-028618</x:v>
      </x:c>
      <x:c r="D1874" s="21" t="str">
        <x:v>Supplier payment</x:v>
      </x:c>
      <x:c r="E1874" s="18" t="n">
        <x:v>24329.76</x:v>
      </x:c>
      <x:c r="F1874" s="18"/>
      <x:c r="G1874" s="18" t="n">
        <x:v>-24329.76</x:v>
      </x:c>
      <x:c r="H1874" s="18" t="n">
        <x:f>H1873+G1874</x:f>
        <x:v>10107072.19999998</x:v>
      </x:c>
    </x:row>
    <x:row r="1875">
      <x:c r="A1875" s="20" t="n">
        <x:v>46199</x:v>
      </x:c>
      <x:c r="B1875" s="21" t="str">
        <x:v>DP-2026-028639</x:v>
      </x:c>
      <x:c r="C1875" s="21" t="str">
        <x:v>ACH PAYMENT - Patterson-Smith - DP-2026-028639</x:v>
      </x:c>
      <x:c r="D1875" s="21" t="str">
        <x:v>Supplier payment</x:v>
      </x:c>
      <x:c r="E1875" s="18" t="n">
        <x:v>5467.63</x:v>
      </x:c>
      <x:c r="F1875" s="18"/>
      <x:c r="G1875" s="18" t="n">
        <x:v>-5467.63</x:v>
      </x:c>
      <x:c r="H1875" s="18" t="n">
        <x:f>H1874+G1875</x:f>
        <x:v>10101604.56999998</x:v>
      </x:c>
    </x:row>
    <x:row r="1876">
      <x:c r="A1876" s="20" t="n">
        <x:v>46199</x:v>
      </x:c>
      <x:c r="B1876" s="21" t="str">
        <x:v>DP-2026-040069</x:v>
      </x:c>
      <x:c r="C1876" s="21" t="str">
        <x:v>WIRE TRANSFER PAYMENT - Arnold Ltd - DP-2026-040069</x:v>
      </x:c>
      <x:c r="D1876" s="21" t="str">
        <x:v>Supplier payment</x:v>
      </x:c>
      <x:c r="E1876" s="18" t="n">
        <x:v>9216.26</x:v>
      </x:c>
      <x:c r="F1876" s="18"/>
      <x:c r="G1876" s="18" t="n">
        <x:v>-9216.26</x:v>
      </x:c>
      <x:c r="H1876" s="18" t="n">
        <x:f>H1875+G1876</x:f>
        <x:v>10092388.30999998</x:v>
      </x:c>
    </x:row>
    <x:row r="1877">
      <x:c r="A1877" s="20" t="n">
        <x:v>46199</x:v>
      </x:c>
      <x:c r="B1877" s="21" t="str">
        <x:v>DP-2026-040077</x:v>
      </x:c>
      <x:c r="C1877" s="21" t="str">
        <x:v>ACH PAYMENT - Evans PLC - DP-2026-040077</x:v>
      </x:c>
      <x:c r="D1877" s="21" t="str">
        <x:v>Supplier payment</x:v>
      </x:c>
      <x:c r="E1877" s="18" t="n">
        <x:v>3716.94</x:v>
      </x:c>
      <x:c r="F1877" s="18"/>
      <x:c r="G1877" s="18" t="n">
        <x:v>-3716.94</x:v>
      </x:c>
      <x:c r="H1877" s="18" t="n">
        <x:f>H1876+G1877</x:f>
        <x:v>10088671.36999998</x:v>
      </x:c>
    </x:row>
    <x:row r="1878">
      <x:c r="A1878" s="20" t="n">
        <x:v>46200</x:v>
      </x:c>
      <x:c r="B1878" s="21" t="str">
        <x:v>CHK0027195</x:v>
      </x:c>
      <x:c r="C1878" s="21" t="str">
        <x:v>CHECK PAYMENT - Keith PLC - DP-2026-027195</x:v>
      </x:c>
      <x:c r="D1878" s="21" t="str">
        <x:v>Supplier payment</x:v>
      </x:c>
      <x:c r="E1878" s="18" t="n">
        <x:v>694.6</x:v>
      </x:c>
      <x:c r="F1878" s="18"/>
      <x:c r="G1878" s="18" t="n">
        <x:v>-694.6</x:v>
      </x:c>
      <x:c r="H1878" s="18" t="n">
        <x:f>H1877+G1878</x:f>
        <x:v>10087976.76999998</x:v>
      </x:c>
    </x:row>
    <x:row r="1879">
      <x:c r="A1879" s="20" t="n">
        <x:v>46200</x:v>
      </x:c>
      <x:c r="B1879" s="21" t="str">
        <x:v>CHK0027215</x:v>
      </x:c>
      <x:c r="C1879" s="21" t="str">
        <x:v>CHECK PAYMENT - Bell, Pruitt and David - DP-2026-027215</x:v>
      </x:c>
      <x:c r="D1879" s="21" t="str">
        <x:v>Supplier payment</x:v>
      </x:c>
      <x:c r="E1879" s="18" t="n">
        <x:v>216.26</x:v>
      </x:c>
      <x:c r="F1879" s="18"/>
      <x:c r="G1879" s="18" t="n">
        <x:v>-216.26</x:v>
      </x:c>
      <x:c r="H1879" s="18" t="n">
        <x:f>H1878+G1879</x:f>
        <x:v>10087760.509999981</x:v>
      </x:c>
    </x:row>
    <x:row r="1880">
      <x:c r="A1880" s="20" t="n">
        <x:v>46200</x:v>
      </x:c>
      <x:c r="B1880" s="21" t="str">
        <x:v>CHK0027219</x:v>
      </x:c>
      <x:c r="C1880" s="21" t="str">
        <x:v>CHECK PAYMENT - Davis-Grant - DP-2026-027219</x:v>
      </x:c>
      <x:c r="D1880" s="21" t="str">
        <x:v>Supplier payment</x:v>
      </x:c>
      <x:c r="E1880" s="18" t="n">
        <x:v>365.47</x:v>
      </x:c>
      <x:c r="F1880" s="18"/>
      <x:c r="G1880" s="18" t="n">
        <x:v>-365.47</x:v>
      </x:c>
      <x:c r="H1880" s="18" t="n">
        <x:f>H1879+G1880</x:f>
        <x:v>10087395.03999998</x:v>
      </x:c>
    </x:row>
    <x:row r="1881">
      <x:c r="A1881" s="20" t="n">
        <x:v>46200</x:v>
      </x:c>
      <x:c r="B1881" s="21" t="str">
        <x:v>CHK0028298</x:v>
      </x:c>
      <x:c r="C1881" s="21" t="str">
        <x:v>CHECK PAYMENT - Bell, Pruitt and David - DP-2026-028298</x:v>
      </x:c>
      <x:c r="D1881" s="21" t="str">
        <x:v>Supplier payment</x:v>
      </x:c>
      <x:c r="E1881" s="18" t="n">
        <x:v>906.1</x:v>
      </x:c>
      <x:c r="F1881" s="18"/>
      <x:c r="G1881" s="18" t="n">
        <x:v>-906.1</x:v>
      </x:c>
      <x:c r="H1881" s="18" t="n">
        <x:f>H1880+G1881</x:f>
        <x:v>10086488.93999998</x:v>
      </x:c>
    </x:row>
    <x:row r="1882">
      <x:c r="A1882" s="20" t="n">
        <x:v>46200</x:v>
      </x:c>
      <x:c r="B1882" s="21" t="str">
        <x:v>CHK0028370</x:v>
      </x:c>
      <x:c r="C1882" s="21" t="str">
        <x:v>CHECK PAYMENT - Martinez, Green and Gentry - DP-2026-028370</x:v>
      </x:c>
      <x:c r="D1882" s="21" t="str">
        <x:v>Supplier payment</x:v>
      </x:c>
      <x:c r="E1882" s="18" t="n">
        <x:v>93.34</x:v>
      </x:c>
      <x:c r="F1882" s="18"/>
      <x:c r="G1882" s="18" t="n">
        <x:v>-93.34</x:v>
      </x:c>
      <x:c r="H1882" s="18" t="n">
        <x:f>H1881+G1882</x:f>
        <x:v>10086395.599999981</x:v>
      </x:c>
    </x:row>
    <x:row r="1883">
      <x:c r="A1883" s="20" t="n">
        <x:v>46200</x:v>
      </x:c>
      <x:c r="B1883" s="21" t="str">
        <x:v>CHK0028379</x:v>
      </x:c>
      <x:c r="C1883" s="21" t="str">
        <x:v>CHECK PAYMENT - Lindsey and Sons - DP-2026-028379</x:v>
      </x:c>
      <x:c r="D1883" s="21" t="str">
        <x:v>Supplier payment</x:v>
      </x:c>
      <x:c r="E1883" s="18" t="n">
        <x:v>966.43</x:v>
      </x:c>
      <x:c r="F1883" s="18"/>
      <x:c r="G1883" s="18" t="n">
        <x:v>-966.43</x:v>
      </x:c>
      <x:c r="H1883" s="18" t="n">
        <x:f>H1882+G1883</x:f>
        <x:v>10085429.169999981</x:v>
      </x:c>
    </x:row>
    <x:row r="1884">
      <x:c r="A1884" s="20" t="n">
        <x:v>46200</x:v>
      </x:c>
      <x:c r="B1884" s="21" t="str">
        <x:v>CHK0028425</x:v>
      </x:c>
      <x:c r="C1884" s="21" t="str">
        <x:v>CHECK PAYMENT - Donaldson LLC - DP-2026-028425</x:v>
      </x:c>
      <x:c r="D1884" s="21" t="str">
        <x:v>Supplier payment</x:v>
      </x:c>
      <x:c r="E1884" s="18" t="n">
        <x:v>423.55</x:v>
      </x:c>
      <x:c r="F1884" s="18"/>
      <x:c r="G1884" s="18" t="n">
        <x:v>-423.55</x:v>
      </x:c>
      <x:c r="H1884" s="18" t="n">
        <x:f>H1883+G1884</x:f>
        <x:v>10085005.61999998</x:v>
      </x:c>
    </x:row>
    <x:row r="1885">
      <x:c r="A1885" s="20" t="n">
        <x:v>46200</x:v>
      </x:c>
      <x:c r="B1885" s="21" t="str">
        <x:v>CHK0028447</x:v>
      </x:c>
      <x:c r="C1885" s="21" t="str">
        <x:v>CHECK PAYMENT - Collins-Johnson - DP-2026-028447</x:v>
      </x:c>
      <x:c r="D1885" s="21" t="str">
        <x:v>Supplier payment</x:v>
      </x:c>
      <x:c r="E1885" s="18" t="n">
        <x:v>62.26</x:v>
      </x:c>
      <x:c r="F1885" s="18"/>
      <x:c r="G1885" s="18" t="n">
        <x:v>-62.26</x:v>
      </x:c>
      <x:c r="H1885" s="18" t="n">
        <x:f>H1884+G1885</x:f>
        <x:v>10084943.35999998</x:v>
      </x:c>
    </x:row>
    <x:row r="1886">
      <x:c r="A1886" s="20" t="n">
        <x:v>46200</x:v>
      </x:c>
      <x:c r="B1886" s="21" t="str">
        <x:v>CHK0028465</x:v>
      </x:c>
      <x:c r="C1886" s="21" t="str">
        <x:v>CHECK PAYMENT - Green and Sons - DP-2026-028465</x:v>
      </x:c>
      <x:c r="D1886" s="21" t="str">
        <x:v>Supplier payment</x:v>
      </x:c>
      <x:c r="E1886" s="18" t="n">
        <x:v>289.88</x:v>
      </x:c>
      <x:c r="F1886" s="18"/>
      <x:c r="G1886" s="18" t="n">
        <x:v>-289.88</x:v>
      </x:c>
      <x:c r="H1886" s="18" t="n">
        <x:f>H1885+G1886</x:f>
        <x:v>10084653.47999998</x:v>
      </x:c>
    </x:row>
    <x:row r="1887">
      <x:c r="A1887" s="20" t="n">
        <x:v>46200</x:v>
      </x:c>
      <x:c r="B1887" s="21" t="str">
        <x:v>CHK0028506</x:v>
      </x:c>
      <x:c r="C1887" s="21" t="str">
        <x:v>CHECK PAYMENT - Arnold Ltd - DP-2026-028506</x:v>
      </x:c>
      <x:c r="D1887" s="21" t="str">
        <x:v>Supplier payment</x:v>
      </x:c>
      <x:c r="E1887" s="18" t="n">
        <x:v>245.86</x:v>
      </x:c>
      <x:c r="F1887" s="18"/>
      <x:c r="G1887" s="18" t="n">
        <x:v>-245.86</x:v>
      </x:c>
      <x:c r="H1887" s="18" t="n">
        <x:f>H1886+G1887</x:f>
        <x:v>10084407.61999998</x:v>
      </x:c>
    </x:row>
    <x:row r="1888">
      <x:c r="A1888" s="20" t="n">
        <x:v>46200</x:v>
      </x:c>
      <x:c r="B1888" s="21" t="str">
        <x:v>CHK0028549</x:v>
      </x:c>
      <x:c r="C1888" s="21" t="str">
        <x:v>CHECK PAYMENT - Gardner-Shelton - DP-2026-028549</x:v>
      </x:c>
      <x:c r="D1888" s="21" t="str">
        <x:v>Supplier payment</x:v>
      </x:c>
      <x:c r="E1888" s="18" t="n">
        <x:v>169.17</x:v>
      </x:c>
      <x:c r="F1888" s="18"/>
      <x:c r="G1888" s="18" t="n">
        <x:v>-169.17</x:v>
      </x:c>
      <x:c r="H1888" s="18" t="n">
        <x:f>H1887+G1888</x:f>
        <x:v>10084238.44999998</x:v>
      </x:c>
    </x:row>
    <x:row r="1889">
      <x:c r="A1889" s="20" t="n">
        <x:v>46200</x:v>
      </x:c>
      <x:c r="B1889" s="21" t="str">
        <x:v>CHK0028558</x:v>
      </x:c>
      <x:c r="C1889" s="21" t="str">
        <x:v>CHECK PAYMENT - Hester Ltd - DP-2026-028558</x:v>
      </x:c>
      <x:c r="D1889" s="21" t="str">
        <x:v>Supplier payment</x:v>
      </x:c>
      <x:c r="E1889" s="18" t="n">
        <x:v>118.34</x:v>
      </x:c>
      <x:c r="F1889" s="18"/>
      <x:c r="G1889" s="18" t="n">
        <x:v>-118.34</x:v>
      </x:c>
      <x:c r="H1889" s="18" t="n">
        <x:f>H1888+G1889</x:f>
        <x:v>10084120.10999998</x:v>
      </x:c>
    </x:row>
    <x:row r="1890">
      <x:c r="A1890" s="20" t="n">
        <x:v>46200</x:v>
      </x:c>
      <x:c r="B1890" s="21" t="str">
        <x:v>CHK0028588</x:v>
      </x:c>
      <x:c r="C1890" s="21" t="str">
        <x:v>CHECK PAYMENT - Peters, Terry and Zimmerman - DP-2026-028588</x:v>
      </x:c>
      <x:c r="D1890" s="21" t="str">
        <x:v>Supplier payment</x:v>
      </x:c>
      <x:c r="E1890" s="18" t="n">
        <x:v>376.21</x:v>
      </x:c>
      <x:c r="F1890" s="18"/>
      <x:c r="G1890" s="18" t="n">
        <x:v>-376.21</x:v>
      </x:c>
      <x:c r="H1890" s="18" t="n">
        <x:f>H1889+G1890</x:f>
        <x:v>10083743.89999998</x:v>
      </x:c>
    </x:row>
    <x:row r="1891">
      <x:c r="A1891" s="20" t="n">
        <x:v>46200</x:v>
      </x:c>
      <x:c r="B1891" s="21" t="str">
        <x:v>DP-2026-027194</x:v>
      </x:c>
      <x:c r="C1891" s="21" t="str">
        <x:v>ACH PAYMENT - Berger, Stanley and Cooper - DP-2026-027194</x:v>
      </x:c>
      <x:c r="D1891" s="21" t="str">
        <x:v>Supplier payment</x:v>
      </x:c>
      <x:c r="E1891" s="18" t="n">
        <x:v>588.42</x:v>
      </x:c>
      <x:c r="F1891" s="18"/>
      <x:c r="G1891" s="18" t="n">
        <x:v>-588.42</x:v>
      </x:c>
      <x:c r="H1891" s="18" t="n">
        <x:f>H1890+G1891</x:f>
        <x:v>10083155.47999998</x:v>
      </x:c>
    </x:row>
    <x:row r="1892">
      <x:c r="A1892" s="20" t="n">
        <x:v>46200</x:v>
      </x:c>
      <x:c r="B1892" s="21" t="str">
        <x:v>DP-2026-027197</x:v>
      </x:c>
      <x:c r="C1892" s="21" t="str">
        <x:v>WIRE TRANSFER PAYMENT - Velasquez-Baxter - DP-2026-027197</x:v>
      </x:c>
      <x:c r="D1892" s="21" t="str">
        <x:v>Supplier payment</x:v>
      </x:c>
      <x:c r="E1892" s="18" t="n">
        <x:v>198.3</x:v>
      </x:c>
      <x:c r="F1892" s="18"/>
      <x:c r="G1892" s="18" t="n">
        <x:v>-198.3</x:v>
      </x:c>
      <x:c r="H1892" s="18" t="n">
        <x:f>H1891+G1892</x:f>
        <x:v>10082957.17999998</x:v>
      </x:c>
    </x:row>
    <x:row r="1893">
      <x:c r="A1893" s="20" t="n">
        <x:v>46200</x:v>
      </x:c>
      <x:c r="B1893" s="21" t="str">
        <x:v>DP-2026-027200</x:v>
      </x:c>
      <x:c r="C1893" s="21" t="str">
        <x:v>ACH PAYMENT - Hernandez, Melendez and Mcdowell - DP-2026-027200</x:v>
      </x:c>
      <x:c r="D1893" s="21" t="str">
        <x:v>Supplier payment</x:v>
      </x:c>
      <x:c r="E1893" s="18" t="n">
        <x:v>1401.51</x:v>
      </x:c>
      <x:c r="F1893" s="18"/>
      <x:c r="G1893" s="18" t="n">
        <x:v>-1401.51</x:v>
      </x:c>
      <x:c r="H1893" s="18" t="n">
        <x:f>H1892+G1893</x:f>
        <x:v>10081555.66999998</x:v>
      </x:c>
    </x:row>
    <x:row r="1894">
      <x:c r="A1894" s="20" t="n">
        <x:v>46200</x:v>
      </x:c>
      <x:c r="B1894" s="21" t="str">
        <x:v>DP-2026-027202</x:v>
      </x:c>
      <x:c r="C1894" s="21" t="str">
        <x:v>ACH PAYMENT - Collins-Johnson - DP-2026-027202</x:v>
      </x:c>
      <x:c r="D1894" s="21" t="str">
        <x:v>Supplier payment</x:v>
      </x:c>
      <x:c r="E1894" s="18" t="n">
        <x:v>199.18</x:v>
      </x:c>
      <x:c r="F1894" s="18"/>
      <x:c r="G1894" s="18" t="n">
        <x:v>-199.18</x:v>
      </x:c>
      <x:c r="H1894" s="18" t="n">
        <x:f>H1893+G1894</x:f>
        <x:v>10081356.48999998</x:v>
      </x:c>
    </x:row>
    <x:row r="1895">
      <x:c r="A1895" s="20" t="n">
        <x:v>46200</x:v>
      </x:c>
      <x:c r="B1895" s="21" t="str">
        <x:v>DP-2026-027204</x:v>
      </x:c>
      <x:c r="C1895" s="21" t="str">
        <x:v>ACH PAYMENT - Williams, Baker and Santos - DP-2026-027204</x:v>
      </x:c>
      <x:c r="D1895" s="21" t="str">
        <x:v>Supplier payment</x:v>
      </x:c>
      <x:c r="E1895" s="18" t="n">
        <x:v>710.98</x:v>
      </x:c>
      <x:c r="F1895" s="18"/>
      <x:c r="G1895" s="18" t="n">
        <x:v>-710.98</x:v>
      </x:c>
      <x:c r="H1895" s="18" t="n">
        <x:f>H1894+G1895</x:f>
        <x:v>10080645.50999998</x:v>
      </x:c>
    </x:row>
    <x:row r="1896">
      <x:c r="A1896" s="20" t="n">
        <x:v>46200</x:v>
      </x:c>
      <x:c r="B1896" s="21" t="str">
        <x:v>DP-2026-027205</x:v>
      </x:c>
      <x:c r="C1896" s="21" t="str">
        <x:v>ACH PAYMENT - Watson, Mitchell and Chen - DP-2026-027205</x:v>
      </x:c>
      <x:c r="D1896" s="21" t="str">
        <x:v>Supplier payment</x:v>
      </x:c>
      <x:c r="E1896" s="18" t="n">
        <x:v>7202.52</x:v>
      </x:c>
      <x:c r="F1896" s="18"/>
      <x:c r="G1896" s="18" t="n">
        <x:v>-7202.52</x:v>
      </x:c>
      <x:c r="H1896" s="18" t="n">
        <x:f>H1895+G1896</x:f>
        <x:v>10073442.98999998</x:v>
      </x:c>
    </x:row>
    <x:row r="1897">
      <x:c r="A1897" s="20" t="n">
        <x:v>46200</x:v>
      </x:c>
      <x:c r="B1897" s="21" t="str">
        <x:v>DP-2026-027210</x:v>
      </x:c>
      <x:c r="C1897" s="21" t="str">
        <x:v>ACH PAYMENT - Gomez PLC - DP-2026-027210</x:v>
      </x:c>
      <x:c r="D1897" s="21" t="str">
        <x:v>Supplier payment</x:v>
      </x:c>
      <x:c r="E1897" s="18" t="n">
        <x:v>597.33</x:v>
      </x:c>
      <x:c r="F1897" s="18"/>
      <x:c r="G1897" s="18" t="n">
        <x:v>-597.33</x:v>
      </x:c>
      <x:c r="H1897" s="18" t="n">
        <x:f>H1896+G1897</x:f>
        <x:v>10072845.65999998</x:v>
      </x:c>
    </x:row>
    <x:row r="1898">
      <x:c r="A1898" s="20" t="n">
        <x:v>46200</x:v>
      </x:c>
      <x:c r="B1898" s="21" t="str">
        <x:v>DP-2026-027214</x:v>
      </x:c>
      <x:c r="C1898" s="21" t="str">
        <x:v>WIRE TRANSFER PAYMENT - Garcia Group - DP-2026-027214</x:v>
      </x:c>
      <x:c r="D1898" s="21" t="str">
        <x:v>Supplier payment</x:v>
      </x:c>
      <x:c r="E1898" s="18" t="n">
        <x:v>118.27</x:v>
      </x:c>
      <x:c r="F1898" s="18"/>
      <x:c r="G1898" s="18" t="n">
        <x:v>-118.27</x:v>
      </x:c>
      <x:c r="H1898" s="18" t="n">
        <x:f>H1897+G1898</x:f>
        <x:v>10072727.38999998</x:v>
      </x:c>
    </x:row>
    <x:row r="1899">
      <x:c r="A1899" s="20" t="n">
        <x:v>46200</x:v>
      </x:c>
      <x:c r="B1899" s="21" t="str">
        <x:v>DP-2026-028209</x:v>
      </x:c>
      <x:c r="C1899" s="21" t="str">
        <x:v>ACH PAYMENT - Hoffman LLC - DP-2026-028209</x:v>
      </x:c>
      <x:c r="D1899" s="21" t="str">
        <x:v>Supplier payment</x:v>
      </x:c>
      <x:c r="E1899" s="18" t="n">
        <x:v>649.7</x:v>
      </x:c>
      <x:c r="F1899" s="18"/>
      <x:c r="G1899" s="18" t="n">
        <x:v>-649.7</x:v>
      </x:c>
      <x:c r="H1899" s="18" t="n">
        <x:f>H1898+G1899</x:f>
        <x:v>10072077.68999998</x:v>
      </x:c>
    </x:row>
    <x:row r="1900">
      <x:c r="A1900" s="20" t="n">
        <x:v>46200</x:v>
      </x:c>
      <x:c r="B1900" s="21" t="str">
        <x:v>DP-2026-028242</x:v>
      </x:c>
      <x:c r="C1900" s="21" t="str">
        <x:v>ACH PAYMENT - Hoffman LLC - DP-2026-028242</x:v>
      </x:c>
      <x:c r="D1900" s="21" t="str">
        <x:v>Supplier payment</x:v>
      </x:c>
      <x:c r="E1900" s="18" t="n">
        <x:v>641.34</x:v>
      </x:c>
      <x:c r="F1900" s="18"/>
      <x:c r="G1900" s="18" t="n">
        <x:v>-641.34</x:v>
      </x:c>
      <x:c r="H1900" s="18" t="n">
        <x:f>H1899+G1900</x:f>
        <x:v>10071436.349999981</x:v>
      </x:c>
    </x:row>
    <x:row r="1901">
      <x:c r="A1901" s="20" t="n">
        <x:v>46200</x:v>
      </x:c>
      <x:c r="B1901" s="21" t="str">
        <x:v>DP-2026-028266</x:v>
      </x:c>
      <x:c r="C1901" s="21" t="str">
        <x:v>ACH PAYMENT - Hale-Hart - DP-2026-028266</x:v>
      </x:c>
      <x:c r="D1901" s="21" t="str">
        <x:v>Supplier payment</x:v>
      </x:c>
      <x:c r="E1901" s="18" t="n">
        <x:v>37.55</x:v>
      </x:c>
      <x:c r="F1901" s="18"/>
      <x:c r="G1901" s="18" t="n">
        <x:v>-37.55</x:v>
      </x:c>
      <x:c r="H1901" s="18" t="n">
        <x:f>H1900+G1901</x:f>
        <x:v>10071398.79999998</x:v>
      </x:c>
    </x:row>
    <x:row r="1902">
      <x:c r="A1902" s="20" t="n">
        <x:v>46200</x:v>
      </x:c>
      <x:c r="B1902" s="21" t="str">
        <x:v>DP-2026-028277</x:v>
      </x:c>
      <x:c r="C1902" s="21" t="str">
        <x:v>ACH PAYMENT - Collins-Johnson - DP-2026-028277</x:v>
      </x:c>
      <x:c r="D1902" s="21" t="str">
        <x:v>Supplier payment</x:v>
      </x:c>
      <x:c r="E1902" s="18" t="n">
        <x:v>13.25</x:v>
      </x:c>
      <x:c r="F1902" s="18"/>
      <x:c r="G1902" s="18" t="n">
        <x:v>-13.25</x:v>
      </x:c>
      <x:c r="H1902" s="18" t="n">
        <x:f>H1901+G1902</x:f>
        <x:v>10071385.54999998</x:v>
      </x:c>
    </x:row>
    <x:row r="1903">
      <x:c r="A1903" s="20" t="n">
        <x:v>46200</x:v>
      </x:c>
      <x:c r="B1903" s="21" t="str">
        <x:v>DP-2026-028329</x:v>
      </x:c>
      <x:c r="C1903" s="21" t="str">
        <x:v>ACH PAYMENT - Velasquez-Baxter - DP-2026-028329</x:v>
      </x:c>
      <x:c r="D1903" s="21" t="str">
        <x:v>Supplier payment</x:v>
      </x:c>
      <x:c r="E1903" s="18" t="n">
        <x:v>445.34</x:v>
      </x:c>
      <x:c r="F1903" s="18"/>
      <x:c r="G1903" s="18" t="n">
        <x:v>-445.34</x:v>
      </x:c>
      <x:c r="H1903" s="18" t="n">
        <x:f>H1902+G1903</x:f>
        <x:v>10070940.20999998</x:v>
      </x:c>
    </x:row>
    <x:row r="1904">
      <x:c r="A1904" s="20" t="n">
        <x:v>46200</x:v>
      </x:c>
      <x:c r="B1904" s="21" t="str">
        <x:v>DP-2026-028339</x:v>
      </x:c>
      <x:c r="C1904" s="21" t="str">
        <x:v>ACH PAYMENT - Hoffman LLC - DP-2026-028339</x:v>
      </x:c>
      <x:c r="D1904" s="21" t="str">
        <x:v>Supplier payment</x:v>
      </x:c>
      <x:c r="E1904" s="18" t="n">
        <x:v>517.82</x:v>
      </x:c>
      <x:c r="F1904" s="18"/>
      <x:c r="G1904" s="18" t="n">
        <x:v>-517.82</x:v>
      </x:c>
      <x:c r="H1904" s="18" t="n">
        <x:f>H1903+G1904</x:f>
        <x:v>10070422.38999998</x:v>
      </x:c>
    </x:row>
    <x:row r="1905">
      <x:c r="A1905" s="20" t="n">
        <x:v>46200</x:v>
      </x:c>
      <x:c r="B1905" s="21" t="str">
        <x:v>DP-2026-028343</x:v>
      </x:c>
      <x:c r="C1905" s="21" t="str">
        <x:v>ACH PAYMENT - Collins-Johnson - DP-2026-028343</x:v>
      </x:c>
      <x:c r="D1905" s="21" t="str">
        <x:v>Supplier payment</x:v>
      </x:c>
      <x:c r="E1905" s="18" t="n">
        <x:v>510.4</x:v>
      </x:c>
      <x:c r="F1905" s="18"/>
      <x:c r="G1905" s="18" t="n">
        <x:v>-510.4</x:v>
      </x:c>
      <x:c r="H1905" s="18" t="n">
        <x:f>H1904+G1905</x:f>
        <x:v>10069911.98999998</x:v>
      </x:c>
    </x:row>
    <x:row r="1906">
      <x:c r="A1906" s="20" t="n">
        <x:v>46200</x:v>
      </x:c>
      <x:c r="B1906" s="21" t="str">
        <x:v>DP-2026-028354</x:v>
      </x:c>
      <x:c r="C1906" s="21" t="str">
        <x:v>ACH PAYMENT - Hester Ltd - DP-2026-028354</x:v>
      </x:c>
      <x:c r="D1906" s="21" t="str">
        <x:v>Supplier payment</x:v>
      </x:c>
      <x:c r="E1906" s="18" t="n">
        <x:v>552.09</x:v>
      </x:c>
      <x:c r="F1906" s="18"/>
      <x:c r="G1906" s="18" t="n">
        <x:v>-552.09</x:v>
      </x:c>
      <x:c r="H1906" s="18" t="n">
        <x:f>H1905+G1906</x:f>
        <x:v>10069359.89999998</x:v>
      </x:c>
    </x:row>
    <x:row r="1907">
      <x:c r="A1907" s="20" t="n">
        <x:v>46200</x:v>
      </x:c>
      <x:c r="B1907" s="21" t="str">
        <x:v>DP-2026-028384</x:v>
      </x:c>
      <x:c r="C1907" s="21" t="str">
        <x:v>WIRE TRANSFER PAYMENT - Hernandez, Melendez and Mcdowell - DP-2026-028384</x:v>
      </x:c>
      <x:c r="D1907" s="21" t="str">
        <x:v>Supplier payment</x:v>
      </x:c>
      <x:c r="E1907" s="18" t="n">
        <x:v>741.05</x:v>
      </x:c>
      <x:c r="F1907" s="18"/>
      <x:c r="G1907" s="18" t="n">
        <x:v>-741.05</x:v>
      </x:c>
      <x:c r="H1907" s="18" t="n">
        <x:f>H1906+G1907</x:f>
        <x:v>10068618.84999998</x:v>
      </x:c>
    </x:row>
    <x:row r="1908">
      <x:c r="A1908" s="20" t="n">
        <x:v>46200</x:v>
      </x:c>
      <x:c r="B1908" s="21" t="str">
        <x:v>DP-2026-028389</x:v>
      </x:c>
      <x:c r="C1908" s="21" t="str">
        <x:v>ACH PAYMENT - Garcia Group - DP-2026-028389</x:v>
      </x:c>
      <x:c r="D1908" s="21" t="str">
        <x:v>Supplier payment</x:v>
      </x:c>
      <x:c r="E1908" s="18" t="n">
        <x:v>529.09</x:v>
      </x:c>
      <x:c r="F1908" s="18"/>
      <x:c r="G1908" s="18" t="n">
        <x:v>-529.09</x:v>
      </x:c>
      <x:c r="H1908" s="18" t="n">
        <x:f>H1907+G1908</x:f>
        <x:v>10068089.75999998</x:v>
      </x:c>
    </x:row>
    <x:row r="1909">
      <x:c r="A1909" s="20" t="n">
        <x:v>46200</x:v>
      </x:c>
      <x:c r="B1909" s="21" t="str">
        <x:v>DP-2026-028393</x:v>
      </x:c>
      <x:c r="C1909" s="21" t="str">
        <x:v>ACH PAYMENT - Turner PLC - DP-2026-028393</x:v>
      </x:c>
      <x:c r="D1909" s="21" t="str">
        <x:v>Supplier payment</x:v>
      </x:c>
      <x:c r="E1909" s="18" t="n">
        <x:v>900.44</x:v>
      </x:c>
      <x:c r="F1909" s="18"/>
      <x:c r="G1909" s="18" t="n">
        <x:v>-900.44</x:v>
      </x:c>
      <x:c r="H1909" s="18" t="n">
        <x:f>H1908+G1909</x:f>
        <x:v>10067189.31999998</x:v>
      </x:c>
    </x:row>
    <x:row r="1910">
      <x:c r="A1910" s="20" t="n">
        <x:v>46200</x:v>
      </x:c>
      <x:c r="B1910" s="21" t="str">
        <x:v>DP-2026-028422</x:v>
      </x:c>
      <x:c r="C1910" s="21" t="str">
        <x:v>ACH PAYMENT - Peters, Terry and Zimmerman - DP-2026-028422</x:v>
      </x:c>
      <x:c r="D1910" s="21" t="str">
        <x:v>Supplier payment</x:v>
      </x:c>
      <x:c r="E1910" s="18" t="n">
        <x:v>16.04</x:v>
      </x:c>
      <x:c r="F1910" s="18"/>
      <x:c r="G1910" s="18" t="n">
        <x:v>-16.04</x:v>
      </x:c>
      <x:c r="H1910" s="18" t="n">
        <x:f>H1909+G1910</x:f>
        <x:v>10067173.27999998</x:v>
      </x:c>
    </x:row>
    <x:row r="1911">
      <x:c r="A1911" s="20" t="n">
        <x:v>46200</x:v>
      </x:c>
      <x:c r="B1911" s="21" t="str">
        <x:v>DP-2026-028442</x:v>
      </x:c>
      <x:c r="C1911" s="21" t="str">
        <x:v>ACH PAYMENT - Kelly-Bradshaw - DP-2026-028442</x:v>
      </x:c>
      <x:c r="D1911" s="21" t="str">
        <x:v>Supplier payment</x:v>
      </x:c>
      <x:c r="E1911" s="18" t="n">
        <x:v>80.65</x:v>
      </x:c>
      <x:c r="F1911" s="18"/>
      <x:c r="G1911" s="18" t="n">
        <x:v>-80.65</x:v>
      </x:c>
      <x:c r="H1911" s="18" t="n">
        <x:f>H1910+G1911</x:f>
        <x:v>10067092.62999998</x:v>
      </x:c>
    </x:row>
    <x:row r="1912">
      <x:c r="A1912" s="20" t="n">
        <x:v>46200</x:v>
      </x:c>
      <x:c r="B1912" s="21" t="str">
        <x:v>DP-2026-028458</x:v>
      </x:c>
      <x:c r="C1912" s="21" t="str">
        <x:v>ACH PAYMENT - Lindsey and Sons - DP-2026-028458</x:v>
      </x:c>
      <x:c r="D1912" s="21" t="str">
        <x:v>Supplier payment</x:v>
      </x:c>
      <x:c r="E1912" s="18" t="n">
        <x:v>269.42</x:v>
      </x:c>
      <x:c r="F1912" s="18"/>
      <x:c r="G1912" s="18" t="n">
        <x:v>-269.42</x:v>
      </x:c>
      <x:c r="H1912" s="18" t="n">
        <x:f>H1911+G1912</x:f>
        <x:v>10066823.20999998</x:v>
      </x:c>
    </x:row>
    <x:row r="1913">
      <x:c r="A1913" s="20" t="n">
        <x:v>46200</x:v>
      </x:c>
      <x:c r="B1913" s="21" t="str">
        <x:v>DP-2026-028483</x:v>
      </x:c>
      <x:c r="C1913" s="21" t="str">
        <x:v>ACH PAYMENT - Velasquez-Baxter - DP-2026-028483</x:v>
      </x:c>
      <x:c r="D1913" s="21" t="str">
        <x:v>Supplier payment</x:v>
      </x:c>
      <x:c r="E1913" s="18" t="n">
        <x:v>168.16</x:v>
      </x:c>
      <x:c r="F1913" s="18"/>
      <x:c r="G1913" s="18" t="n">
        <x:v>-168.16</x:v>
      </x:c>
      <x:c r="H1913" s="18" t="n">
        <x:f>H1912+G1913</x:f>
        <x:v>10066655.04999998</x:v>
      </x:c>
    </x:row>
    <x:row r="1914">
      <x:c r="A1914" s="20" t="n">
        <x:v>46200</x:v>
      </x:c>
      <x:c r="B1914" s="21" t="str">
        <x:v>DP-2026-028511</x:v>
      </x:c>
      <x:c r="C1914" s="21" t="str">
        <x:v>ACH PAYMENT - Nelson-Rocha - DP-2026-028511</x:v>
      </x:c>
      <x:c r="D1914" s="21" t="str">
        <x:v>Supplier payment</x:v>
      </x:c>
      <x:c r="E1914" s="18" t="n">
        <x:v>3840.18</x:v>
      </x:c>
      <x:c r="F1914" s="18"/>
      <x:c r="G1914" s="18" t="n">
        <x:v>-3840.18</x:v>
      </x:c>
      <x:c r="H1914" s="18" t="n">
        <x:f>H1913+G1914</x:f>
        <x:v>10062814.86999998</x:v>
      </x:c>
    </x:row>
    <x:row r="1915">
      <x:c r="A1915" s="20" t="n">
        <x:v>46200</x:v>
      </x:c>
      <x:c r="B1915" s="21" t="str">
        <x:v>DP-2026-028524</x:v>
      </x:c>
      <x:c r="C1915" s="21" t="str">
        <x:v>ACH PAYMENT - Fuller LLC - DP-2026-028524</x:v>
      </x:c>
      <x:c r="D1915" s="21" t="str">
        <x:v>Supplier payment</x:v>
      </x:c>
      <x:c r="E1915" s="18" t="n">
        <x:v>1249.16</x:v>
      </x:c>
      <x:c r="F1915" s="18"/>
      <x:c r="G1915" s="18" t="n">
        <x:v>-1249.16</x:v>
      </x:c>
      <x:c r="H1915" s="18" t="n">
        <x:f>H1914+G1915</x:f>
        <x:v>10061565.70999998</x:v>
      </x:c>
    </x:row>
    <x:row r="1916">
      <x:c r="A1916" s="20" t="n">
        <x:v>46200</x:v>
      </x:c>
      <x:c r="B1916" s="21" t="str">
        <x:v>DP-2026-028537</x:v>
      </x:c>
      <x:c r="C1916" s="21" t="str">
        <x:v>ACH PAYMENT - Hester Ltd - DP-2026-028537</x:v>
      </x:c>
      <x:c r="D1916" s="21" t="str">
        <x:v>Supplier payment</x:v>
      </x:c>
      <x:c r="E1916" s="18" t="n">
        <x:v>255.61</x:v>
      </x:c>
      <x:c r="F1916" s="18"/>
      <x:c r="G1916" s="18" t="n">
        <x:v>-255.61</x:v>
      </x:c>
      <x:c r="H1916" s="18" t="n">
        <x:f>H1915+G1916</x:f>
        <x:v>10061310.099999981</x:v>
      </x:c>
    </x:row>
    <x:row r="1917">
      <x:c r="A1917" s="20" t="n">
        <x:v>46200</x:v>
      </x:c>
      <x:c r="B1917" s="21" t="str">
        <x:v>DP-2026-028587</x:v>
      </x:c>
      <x:c r="C1917" s="21" t="str">
        <x:v>WIRE TRANSFER PAYMENT - Whitaker-Edwards - DP-2026-028587</x:v>
      </x:c>
      <x:c r="D1917" s="21" t="str">
        <x:v>Supplier payment</x:v>
      </x:c>
      <x:c r="E1917" s="18" t="n">
        <x:v>434.76</x:v>
      </x:c>
      <x:c r="F1917" s="18"/>
      <x:c r="G1917" s="18" t="n">
        <x:v>-434.76</x:v>
      </x:c>
      <x:c r="H1917" s="18" t="n">
        <x:f>H1916+G1917</x:f>
        <x:v>10060875.339999981</x:v>
      </x:c>
    </x:row>
    <x:row r="1918">
      <x:c r="A1918" s="20" t="n">
        <x:v>46200</x:v>
      </x:c>
      <x:c r="B1918" s="21" t="str">
        <x:v>DP-2026-028640</x:v>
      </x:c>
      <x:c r="C1918" s="21" t="str">
        <x:v>ACH PAYMENT - Garcia Group - DP-2026-028640</x:v>
      </x:c>
      <x:c r="D1918" s="21" t="str">
        <x:v>Supplier payment</x:v>
      </x:c>
      <x:c r="E1918" s="18" t="n">
        <x:v>86.51</x:v>
      </x:c>
      <x:c r="F1918" s="18"/>
      <x:c r="G1918" s="18" t="n">
        <x:v>-86.51</x:v>
      </x:c>
      <x:c r="H1918" s="18" t="n">
        <x:f>H1917+G1918</x:f>
        <x:v>10060788.829999981</x:v>
      </x:c>
    </x:row>
    <x:row r="1919">
      <x:c r="A1919" s="20" t="n">
        <x:v>46200</x:v>
      </x:c>
      <x:c r="B1919" s="21" t="str">
        <x:v>DP-2026-028643</x:v>
      </x:c>
      <x:c r="C1919" s="21" t="str">
        <x:v>ACH PAYMENT - Silva, Burton and Arnold - DP-2026-028643</x:v>
      </x:c>
      <x:c r="D1919" s="21" t="str">
        <x:v>Supplier payment</x:v>
      </x:c>
      <x:c r="E1919" s="18" t="n">
        <x:v>478.06</x:v>
      </x:c>
      <x:c r="F1919" s="18"/>
      <x:c r="G1919" s="18" t="n">
        <x:v>-478.06</x:v>
      </x:c>
      <x:c r="H1919" s="18" t="n">
        <x:f>H1918+G1919</x:f>
        <x:v>10060310.76999998</x:v>
      </x:c>
    </x:row>
    <x:row r="1920">
      <x:c r="A1920" s="20" t="n">
        <x:v>46200</x:v>
      </x:c>
      <x:c r="B1920" s="21" t="str">
        <x:v>DP-2026-040066</x:v>
      </x:c>
      <x:c r="C1920" s="21" t="str">
        <x:v>ACH PAYMENT - Martinez LLC - DP-2026-040066</x:v>
      </x:c>
      <x:c r="D1920" s="21" t="str">
        <x:v>Supplier payment</x:v>
      </x:c>
      <x:c r="E1920" s="18" t="n">
        <x:v>9116.6</x:v>
      </x:c>
      <x:c r="F1920" s="18"/>
      <x:c r="G1920" s="18" t="n">
        <x:v>-9116.6</x:v>
      </x:c>
      <x:c r="H1920" s="18" t="n">
        <x:f>H1919+G1920</x:f>
        <x:v>10051194.169999981</x:v>
      </x:c>
    </x:row>
    <x:row r="1921">
      <x:c r="A1921" s="20" t="n">
        <x:v>46200</x:v>
      </x:c>
      <x:c r="B1921" s="21" t="str">
        <x:v>RF00000178</x:v>
      </x:c>
      <x:c r="C1921" s="21" t="str">
        <x:v>CUSTOMER REFUND - RF-2026-000178</x:v>
      </x:c>
      <x:c r="D1921" s="21" t="str">
        <x:v>Customer refund</x:v>
      </x:c>
      <x:c r="E1921" s="18" t="n">
        <x:v>482.98</x:v>
      </x:c>
      <x:c r="F1921" s="18"/>
      <x:c r="G1921" s="18" t="n">
        <x:v>-482.98</x:v>
      </x:c>
      <x:c r="H1921" s="18" t="n">
        <x:f>H1920+G1921</x:f>
        <x:v>10050711.18999998</x:v>
      </x:c>
    </x:row>
    <x:row r="1922">
      <x:c r="A1922" s="20" t="n">
        <x:v>46201</x:v>
      </x:c>
      <x:c r="B1922" s="21" t="str">
        <x:v>CHK0025623</x:v>
      </x:c>
      <x:c r="C1922" s="21" t="str">
        <x:v>CHECK PAYMENT - Nash LLC - DP-2026-025623</x:v>
      </x:c>
      <x:c r="D1922" s="21" t="str">
        <x:v>Supplier payment</x:v>
      </x:c>
      <x:c r="E1922" s="18" t="n">
        <x:v>715.34</x:v>
      </x:c>
      <x:c r="F1922" s="18"/>
      <x:c r="G1922" s="18" t="n">
        <x:v>-715.34</x:v>
      </x:c>
      <x:c r="H1922" s="18" t="n">
        <x:f>H1921+G1922</x:f>
        <x:v>10049995.849999981</x:v>
      </x:c>
    </x:row>
    <x:row r="1923">
      <x:c r="A1923" s="20" t="n">
        <x:v>46201</x:v>
      </x:c>
      <x:c r="B1923" s="21" t="str">
        <x:v>CHK0028262</x:v>
      </x:c>
      <x:c r="C1923" s="21" t="str">
        <x:v>CHECK PAYMENT - Barrett Inc - DP-2026-028262</x:v>
      </x:c>
      <x:c r="D1923" s="21" t="str">
        <x:v>Supplier payment</x:v>
      </x:c>
      <x:c r="E1923" s="18" t="n">
        <x:v>334.48</x:v>
      </x:c>
      <x:c r="F1923" s="18"/>
      <x:c r="G1923" s="18" t="n">
        <x:v>-334.48</x:v>
      </x:c>
      <x:c r="H1923" s="18" t="n">
        <x:f>H1922+G1923</x:f>
        <x:v>10049661.36999998</x:v>
      </x:c>
    </x:row>
    <x:row r="1924">
      <x:c r="A1924" s="20" t="n">
        <x:v>46201</x:v>
      </x:c>
      <x:c r="B1924" s="21" t="str">
        <x:v>CHK0028328</x:v>
      </x:c>
      <x:c r="C1924" s="21" t="str">
        <x:v>CHECK PAYMENT - Hale-Hart - DP-2026-028328</x:v>
      </x:c>
      <x:c r="D1924" s="21" t="str">
        <x:v>Supplier payment</x:v>
      </x:c>
      <x:c r="E1924" s="18" t="n">
        <x:v>168.84</x:v>
      </x:c>
      <x:c r="F1924" s="18"/>
      <x:c r="G1924" s="18" t="n">
        <x:v>-168.84</x:v>
      </x:c>
      <x:c r="H1924" s="18" t="n">
        <x:f>H1923+G1924</x:f>
        <x:v>10049492.52999998</x:v>
      </x:c>
    </x:row>
    <x:row r="1925">
      <x:c r="A1925" s="20" t="n">
        <x:v>46201</x:v>
      </x:c>
      <x:c r="B1925" s="21" t="str">
        <x:v>CHK0028338</x:v>
      </x:c>
      <x:c r="C1925" s="21" t="str">
        <x:v>CHECK PAYMENT - Marks, Mitchell and Hernandez - DP-2026-028338</x:v>
      </x:c>
      <x:c r="D1925" s="21" t="str">
        <x:v>Supplier payment</x:v>
      </x:c>
      <x:c r="E1925" s="18" t="n">
        <x:v>290.53</x:v>
      </x:c>
      <x:c r="F1925" s="18"/>
      <x:c r="G1925" s="18" t="n">
        <x:v>-290.53</x:v>
      </x:c>
      <x:c r="H1925" s="18" t="n">
        <x:f>H1924+G1925</x:f>
        <x:v>10049201.999999981</x:v>
      </x:c>
    </x:row>
    <x:row r="1926">
      <x:c r="A1926" s="20" t="n">
        <x:v>46201</x:v>
      </x:c>
      <x:c r="B1926" s="21" t="str">
        <x:v>CHK0028346</x:v>
      </x:c>
      <x:c r="C1926" s="21" t="str">
        <x:v>CHECK PAYMENT - Peters, Terry and Zimmerman - DP-2026-028346</x:v>
      </x:c>
      <x:c r="D1926" s="21" t="str">
        <x:v>Supplier payment</x:v>
      </x:c>
      <x:c r="E1926" s="18" t="n">
        <x:v>121.25</x:v>
      </x:c>
      <x:c r="F1926" s="18"/>
      <x:c r="G1926" s="18" t="n">
        <x:v>-121.25</x:v>
      </x:c>
      <x:c r="H1926" s="18" t="n">
        <x:f>H1925+G1926</x:f>
        <x:v>10049080.749999981</x:v>
      </x:c>
    </x:row>
    <x:row r="1927">
      <x:c r="A1927" s="20" t="n">
        <x:v>46201</x:v>
      </x:c>
      <x:c r="B1927" s="21" t="str">
        <x:v>CHK0028359</x:v>
      </x:c>
      <x:c r="C1927" s="21" t="str">
        <x:v>CHECK PAYMENT - Fletcher Ltd - DP-2026-028359</x:v>
      </x:c>
      <x:c r="D1927" s="21" t="str">
        <x:v>Supplier payment</x:v>
      </x:c>
      <x:c r="E1927" s="18" t="n">
        <x:v>305.24</x:v>
      </x:c>
      <x:c r="F1927" s="18"/>
      <x:c r="G1927" s="18" t="n">
        <x:v>-305.24</x:v>
      </x:c>
      <x:c r="H1927" s="18" t="n">
        <x:f>H1926+G1927</x:f>
        <x:v>10048775.509999981</x:v>
      </x:c>
    </x:row>
    <x:row r="1928">
      <x:c r="A1928" s="20" t="n">
        <x:v>46201</x:v>
      </x:c>
      <x:c r="B1928" s="21" t="str">
        <x:v>CHK0028403</x:v>
      </x:c>
      <x:c r="C1928" s="21" t="str">
        <x:v>CHECK PAYMENT - Hester Ltd - DP-2026-028403</x:v>
      </x:c>
      <x:c r="D1928" s="21" t="str">
        <x:v>Supplier payment</x:v>
      </x:c>
      <x:c r="E1928" s="18" t="n">
        <x:v>750.55</x:v>
      </x:c>
      <x:c r="F1928" s="18"/>
      <x:c r="G1928" s="18" t="n">
        <x:v>-750.55</x:v>
      </x:c>
      <x:c r="H1928" s="18" t="n">
        <x:f>H1927+G1928</x:f>
        <x:v>10048024.95999998</x:v>
      </x:c>
    </x:row>
    <x:row r="1929">
      <x:c r="A1929" s="20" t="n">
        <x:v>46201</x:v>
      </x:c>
      <x:c r="B1929" s="21" t="str">
        <x:v>CHK0028416</x:v>
      </x:c>
      <x:c r="C1929" s="21" t="str">
        <x:v>CHECK PAYMENT - Hester Ltd - DP-2026-028416</x:v>
      </x:c>
      <x:c r="D1929" s="21" t="str">
        <x:v>Supplier payment</x:v>
      </x:c>
      <x:c r="E1929" s="18" t="n">
        <x:v>225.49</x:v>
      </x:c>
      <x:c r="F1929" s="18"/>
      <x:c r="G1929" s="18" t="n">
        <x:v>-225.49</x:v>
      </x:c>
      <x:c r="H1929" s="18" t="n">
        <x:f>H1928+G1929</x:f>
        <x:v>10047799.46999998</x:v>
      </x:c>
    </x:row>
    <x:row r="1930">
      <x:c r="A1930" s="20" t="n">
        <x:v>46201</x:v>
      </x:c>
      <x:c r="B1930" s="21" t="str">
        <x:v>CHK0028421</x:v>
      </x:c>
      <x:c r="C1930" s="21" t="str">
        <x:v>CHECK PAYMENT - Nguyen-Weaver - DP-2026-028421</x:v>
      </x:c>
      <x:c r="D1930" s="21" t="str">
        <x:v>Supplier payment</x:v>
      </x:c>
      <x:c r="E1930" s="18" t="n">
        <x:v>170.72</x:v>
      </x:c>
      <x:c r="F1930" s="18"/>
      <x:c r="G1930" s="18" t="n">
        <x:v>-170.72</x:v>
      </x:c>
      <x:c r="H1930" s="18" t="n">
        <x:f>H1929+G1930</x:f>
        <x:v>10047628.74999998</x:v>
      </x:c>
    </x:row>
    <x:row r="1931">
      <x:c r="A1931" s="20" t="n">
        <x:v>46201</x:v>
      </x:c>
      <x:c r="B1931" s="21" t="str">
        <x:v>CHK0028463</x:v>
      </x:c>
      <x:c r="C1931" s="21" t="str">
        <x:v>CHECK PAYMENT - Coffey Group - DP-2026-028463</x:v>
      </x:c>
      <x:c r="D1931" s="21" t="str">
        <x:v>Supplier payment</x:v>
      </x:c>
      <x:c r="E1931" s="18" t="n">
        <x:v>127.71</x:v>
      </x:c>
      <x:c r="F1931" s="18"/>
      <x:c r="G1931" s="18" t="n">
        <x:v>-127.71</x:v>
      </x:c>
      <x:c r="H1931" s="18" t="n">
        <x:f>H1930+G1931</x:f>
        <x:v>10047501.039999979</x:v>
      </x:c>
    </x:row>
    <x:row r="1932">
      <x:c r="A1932" s="20" t="n">
        <x:v>46201</x:v>
      </x:c>
      <x:c r="B1932" s="21" t="str">
        <x:v>CHK0028503</x:v>
      </x:c>
      <x:c r="C1932" s="21" t="str">
        <x:v>CHECK PAYMENT - Velasquez-Baxter - DP-2026-028503</x:v>
      </x:c>
      <x:c r="D1932" s="21" t="str">
        <x:v>Supplier payment</x:v>
      </x:c>
      <x:c r="E1932" s="18" t="n">
        <x:v>780.16</x:v>
      </x:c>
      <x:c r="F1932" s="18"/>
      <x:c r="G1932" s="18" t="n">
        <x:v>-780.16</x:v>
      </x:c>
      <x:c r="H1932" s="18" t="n">
        <x:f>H1931+G1932</x:f>
        <x:v>10046720.879999978</x:v>
      </x:c>
    </x:row>
    <x:row r="1933">
      <x:c r="A1933" s="20" t="n">
        <x:v>46201</x:v>
      </x:c>
      <x:c r="B1933" s="21" t="str">
        <x:v>CHK0028525</x:v>
      </x:c>
      <x:c r="C1933" s="21" t="str">
        <x:v>CHECK PAYMENT - Hernandez PLC - DP-2026-028525</x:v>
      </x:c>
      <x:c r="D1933" s="21" t="str">
        <x:v>Supplier payment</x:v>
      </x:c>
      <x:c r="E1933" s="18" t="n">
        <x:v>1721.09</x:v>
      </x:c>
      <x:c r="F1933" s="18"/>
      <x:c r="G1933" s="18" t="n">
        <x:v>-1721.09</x:v>
      </x:c>
      <x:c r="H1933" s="18" t="n">
        <x:f>H1932+G1933</x:f>
        <x:v>10044999.789999979</x:v>
      </x:c>
    </x:row>
    <x:row r="1934">
      <x:c r="A1934" s="20" t="n">
        <x:v>46201</x:v>
      </x:c>
      <x:c r="B1934" s="21" t="str">
        <x:v>CHK0028548</x:v>
      </x:c>
      <x:c r="C1934" s="21" t="str">
        <x:v>CHECK PAYMENT - Green and Sons - DP-2026-028548</x:v>
      </x:c>
      <x:c r="D1934" s="21" t="str">
        <x:v>Supplier payment</x:v>
      </x:c>
      <x:c r="E1934" s="18" t="n">
        <x:v>153.47</x:v>
      </x:c>
      <x:c r="F1934" s="18"/>
      <x:c r="G1934" s="18" t="n">
        <x:v>-153.47</x:v>
      </x:c>
      <x:c r="H1934" s="18" t="n">
        <x:f>H1933+G1934</x:f>
        <x:v>10044846.319999978</x:v>
      </x:c>
    </x:row>
    <x:row r="1935">
      <x:c r="A1935" s="20" t="n">
        <x:v>46201</x:v>
      </x:c>
      <x:c r="B1935" s="21" t="str">
        <x:v>CHK0028551</x:v>
      </x:c>
      <x:c r="C1935" s="21" t="str">
        <x:v>CHECK PAYMENT - Morris, Anderson and Chang - DP-2026-028551</x:v>
      </x:c>
      <x:c r="D1935" s="21" t="str">
        <x:v>Supplier payment</x:v>
      </x:c>
      <x:c r="E1935" s="18" t="n">
        <x:v>94.74</x:v>
      </x:c>
      <x:c r="F1935" s="18"/>
      <x:c r="G1935" s="18" t="n">
        <x:v>-94.74</x:v>
      </x:c>
      <x:c r="H1935" s="18" t="n">
        <x:f>H1934+G1935</x:f>
        <x:v>10044751.579999978</x:v>
      </x:c>
    </x:row>
    <x:row r="1936">
      <x:c r="A1936" s="20" t="n">
        <x:v>46201</x:v>
      </x:c>
      <x:c r="B1936" s="21" t="str">
        <x:v>CHK0028574</x:v>
      </x:c>
      <x:c r="C1936" s="21" t="str">
        <x:v>CHECK PAYMENT - Collins-Johnson - DP-2026-028574</x:v>
      </x:c>
      <x:c r="D1936" s="21" t="str">
        <x:v>Supplier payment</x:v>
      </x:c>
      <x:c r="E1936" s="18" t="n">
        <x:v>1407.56</x:v>
      </x:c>
      <x:c r="F1936" s="18"/>
      <x:c r="G1936" s="18" t="n">
        <x:v>-1407.56</x:v>
      </x:c>
      <x:c r="H1936" s="18" t="n">
        <x:f>H1935+G1936</x:f>
        <x:v>10043344.019999977</x:v>
      </x:c>
    </x:row>
    <x:row r="1937">
      <x:c r="A1937" s="20" t="n">
        <x:v>46201</x:v>
      </x:c>
      <x:c r="B1937" s="21" t="str">
        <x:v>CHK0028584</x:v>
      </x:c>
      <x:c r="C1937" s="21" t="str">
        <x:v>CHECK PAYMENT - Morris, Anderson and Chang - DP-2026-028584</x:v>
      </x:c>
      <x:c r="D1937" s="21" t="str">
        <x:v>Supplier payment</x:v>
      </x:c>
      <x:c r="E1937" s="18" t="n">
        <x:v>1142.55</x:v>
      </x:c>
      <x:c r="F1937" s="18"/>
      <x:c r="G1937" s="18" t="n">
        <x:v>-1142.55</x:v>
      </x:c>
      <x:c r="H1937" s="18" t="n">
        <x:f>H1936+G1937</x:f>
        <x:v>10042201.469999976</x:v>
      </x:c>
    </x:row>
    <x:row r="1938">
      <x:c r="A1938" s="20" t="n">
        <x:v>46201</x:v>
      </x:c>
      <x:c r="B1938" s="21" t="str">
        <x:v>CHK0028591</x:v>
      </x:c>
      <x:c r="C1938" s="21" t="str">
        <x:v>CHECK PAYMENT - Berger, Stanley and Cooper - DP-2026-028591</x:v>
      </x:c>
      <x:c r="D1938" s="21" t="str">
        <x:v>Supplier payment</x:v>
      </x:c>
      <x:c r="E1938" s="18" t="n">
        <x:v>465.32</x:v>
      </x:c>
      <x:c r="F1938" s="18"/>
      <x:c r="G1938" s="18" t="n">
        <x:v>-465.32</x:v>
      </x:c>
      <x:c r="H1938" s="18" t="n">
        <x:f>H1937+G1938</x:f>
        <x:v>10041736.149999976</x:v>
      </x:c>
    </x:row>
    <x:row r="1939">
      <x:c r="A1939" s="20" t="n">
        <x:v>46201</x:v>
      </x:c>
      <x:c r="B1939" s="21" t="str">
        <x:v>CHK0028602</x:v>
      </x:c>
      <x:c r="C1939" s="21" t="str">
        <x:v>CHECK PAYMENT - Nguyen-Davis - DP-2026-028602</x:v>
      </x:c>
      <x:c r="D1939" s="21" t="str">
        <x:v>Supplier payment</x:v>
      </x:c>
      <x:c r="E1939" s="18" t="n">
        <x:v>2621.01</x:v>
      </x:c>
      <x:c r="F1939" s="18"/>
      <x:c r="G1939" s="18" t="n">
        <x:v>-2621.01</x:v>
      </x:c>
      <x:c r="H1939" s="18" t="n">
        <x:f>H1938+G1939</x:f>
        <x:v>10039115.139999976</x:v>
      </x:c>
    </x:row>
    <x:row r="1940">
      <x:c r="A1940" s="20" t="n">
        <x:v>46201</x:v>
      </x:c>
      <x:c r="B1940" s="21" t="str">
        <x:v>DEP00005916</x:v>
      </x:c>
      <x:c r="C1940" s="21" t="str">
        <x:v>CUSTOMER DEPOSIT - Baldwin Group - CR-2026-005916</x:v>
      </x:c>
      <x:c r="D1940" s="21" t="str">
        <x:v>Customer deposit</x:v>
      </x:c>
      <x:c r="E1940" s="18"/>
      <x:c r="F1940" s="18" t="n">
        <x:v>1998.47</x:v>
      </x:c>
      <x:c r="G1940" s="18" t="n">
        <x:v>1998.47</x:v>
      </x:c>
      <x:c r="H1940" s="18" t="n">
        <x:f>H1939+G1940</x:f>
        <x:v>10041113.609999977</x:v>
      </x:c>
    </x:row>
    <x:row r="1941">
      <x:c r="A1941" s="20" t="n">
        <x:v>46201</x:v>
      </x:c>
      <x:c r="B1941" s="21" t="str">
        <x:v>DP-2026-027203</x:v>
      </x:c>
      <x:c r="C1941" s="21" t="str">
        <x:v>ACH PAYMENT - Berger, Stanley and Cooper - DP-2026-027203</x:v>
      </x:c>
      <x:c r="D1941" s="21" t="str">
        <x:v>Supplier payment</x:v>
      </x:c>
      <x:c r="E1941" s="18" t="n">
        <x:v>13.68</x:v>
      </x:c>
      <x:c r="F1941" s="18"/>
      <x:c r="G1941" s="18" t="n">
        <x:v>-13.68</x:v>
      </x:c>
      <x:c r="H1941" s="18" t="n">
        <x:f>H1940+G1941</x:f>
        <x:v>10041099.929999977</x:v>
      </x:c>
    </x:row>
    <x:row r="1942">
      <x:c r="A1942" s="20" t="n">
        <x:v>46201</x:v>
      </x:c>
      <x:c r="B1942" s="21" t="str">
        <x:v>DP-2026-027206</x:v>
      </x:c>
      <x:c r="C1942" s="21" t="str">
        <x:v>ACH PAYMENT - Gay, Clark and Hickman - DP-2026-027206</x:v>
      </x:c>
      <x:c r="D1942" s="21" t="str">
        <x:v>Supplier payment</x:v>
      </x:c>
      <x:c r="E1942" s="18" t="n">
        <x:v>1802.96</x:v>
      </x:c>
      <x:c r="F1942" s="18"/>
      <x:c r="G1942" s="18" t="n">
        <x:v>-1802.96</x:v>
      </x:c>
      <x:c r="H1942" s="18" t="n">
        <x:f>H1941+G1942</x:f>
        <x:v>10039296.969999976</x:v>
      </x:c>
    </x:row>
    <x:row r="1943">
      <x:c r="A1943" s="20" t="n">
        <x:v>46201</x:v>
      </x:c>
      <x:c r="B1943" s="21" t="str">
        <x:v>DP-2026-027209</x:v>
      </x:c>
      <x:c r="C1943" s="21" t="str">
        <x:v>ACH PAYMENT - Peters, Terry and Zimmerman - DP-2026-027209</x:v>
      </x:c>
      <x:c r="D1943" s="21" t="str">
        <x:v>Supplier payment</x:v>
      </x:c>
      <x:c r="E1943" s="18" t="n">
        <x:v>214.74</x:v>
      </x:c>
      <x:c r="F1943" s="18"/>
      <x:c r="G1943" s="18" t="n">
        <x:v>-214.74</x:v>
      </x:c>
      <x:c r="H1943" s="18" t="n">
        <x:f>H1942+G1943</x:f>
        <x:v>10039082.229999976</x:v>
      </x:c>
    </x:row>
    <x:row r="1944">
      <x:c r="A1944" s="20" t="n">
        <x:v>46201</x:v>
      </x:c>
      <x:c r="B1944" s="21" t="str">
        <x:v>DP-2026-027211</x:v>
      </x:c>
      <x:c r="C1944" s="21" t="str">
        <x:v>ACH PAYMENT - Patterson-Smith - DP-2026-027211</x:v>
      </x:c>
      <x:c r="D1944" s="21" t="str">
        <x:v>Supplier payment</x:v>
      </x:c>
      <x:c r="E1944" s="18" t="n">
        <x:v>476.25</x:v>
      </x:c>
      <x:c r="F1944" s="18"/>
      <x:c r="G1944" s="18" t="n">
        <x:v>-476.25</x:v>
      </x:c>
      <x:c r="H1944" s="18" t="n">
        <x:f>H1943+G1944</x:f>
        <x:v>10038605.979999976</x:v>
      </x:c>
    </x:row>
    <x:row r="1945">
      <x:c r="A1945" s="20" t="n">
        <x:v>46201</x:v>
      </x:c>
      <x:c r="B1945" s="21" t="str">
        <x:v>DP-2026-027212</x:v>
      </x:c>
      <x:c r="C1945" s="21" t="str">
        <x:v>ACH PAYMENT - Simmons, Tucker and Huang - DP-2026-027212</x:v>
      </x:c>
      <x:c r="D1945" s="21" t="str">
        <x:v>Supplier payment</x:v>
      </x:c>
      <x:c r="E1945" s="18" t="n">
        <x:v>566.76</x:v>
      </x:c>
      <x:c r="F1945" s="18"/>
      <x:c r="G1945" s="18" t="n">
        <x:v>-566.76</x:v>
      </x:c>
      <x:c r="H1945" s="18" t="n">
        <x:f>H1944+G1945</x:f>
        <x:v>10038039.219999976</x:v>
      </x:c>
    </x:row>
    <x:row r="1946">
      <x:c r="A1946" s="20" t="n">
        <x:v>46201</x:v>
      </x:c>
      <x:c r="B1946" s="21" t="str">
        <x:v>DP-2026-027216</x:v>
      </x:c>
      <x:c r="C1946" s="21" t="str">
        <x:v>ACH PAYMENT - Peters, Terry and Zimmerman - DP-2026-027216</x:v>
      </x:c>
      <x:c r="D1946" s="21" t="str">
        <x:v>Supplier payment</x:v>
      </x:c>
      <x:c r="E1946" s="18" t="n">
        <x:v>542.77</x:v>
      </x:c>
      <x:c r="F1946" s="18"/>
      <x:c r="G1946" s="18" t="n">
        <x:v>-542.77</x:v>
      </x:c>
      <x:c r="H1946" s="18" t="n">
        <x:f>H1945+G1946</x:f>
        <x:v>10037496.449999977</x:v>
      </x:c>
    </x:row>
    <x:row r="1947">
      <x:c r="A1947" s="20" t="n">
        <x:v>46201</x:v>
      </x:c>
      <x:c r="B1947" s="21" t="str">
        <x:v>DP-2026-028264</x:v>
      </x:c>
      <x:c r="C1947" s="21" t="str">
        <x:v>ACH PAYMENT - Arnold Ltd - DP-2026-028264</x:v>
      </x:c>
      <x:c r="D1947" s="21" t="str">
        <x:v>Supplier payment</x:v>
      </x:c>
      <x:c r="E1947" s="18" t="n">
        <x:v>415.87</x:v>
      </x:c>
      <x:c r="F1947" s="18"/>
      <x:c r="G1947" s="18" t="n">
        <x:v>-415.87</x:v>
      </x:c>
      <x:c r="H1947" s="18" t="n">
        <x:f>H1946+G1947</x:f>
        <x:v>10037080.579999978</x:v>
      </x:c>
    </x:row>
    <x:row r="1948">
      <x:c r="A1948" s="20" t="n">
        <x:v>46201</x:v>
      </x:c>
      <x:c r="B1948" s="21" t="str">
        <x:v>DP-2026-028272</x:v>
      </x:c>
      <x:c r="C1948" s="21" t="str">
        <x:v>ACH PAYMENT - Martinez LLC - DP-2026-028272</x:v>
      </x:c>
      <x:c r="D1948" s="21" t="str">
        <x:v>Supplier payment</x:v>
      </x:c>
      <x:c r="E1948" s="18" t="n">
        <x:v>453.16</x:v>
      </x:c>
      <x:c r="F1948" s="18"/>
      <x:c r="G1948" s="18" t="n">
        <x:v>-453.16</x:v>
      </x:c>
      <x:c r="H1948" s="18" t="n">
        <x:f>H1947+G1948</x:f>
        <x:v>10036627.419999978</x:v>
      </x:c>
    </x:row>
    <x:row r="1949">
      <x:c r="A1949" s="20" t="n">
        <x:v>46201</x:v>
      </x:c>
      <x:c r="B1949" s="21" t="str">
        <x:v>DP-2026-028273</x:v>
      </x:c>
      <x:c r="C1949" s="21" t="str">
        <x:v>ACH PAYMENT - Berger, Stanley and Cooper - DP-2026-028273</x:v>
      </x:c>
      <x:c r="D1949" s="21" t="str">
        <x:v>Supplier payment</x:v>
      </x:c>
      <x:c r="E1949" s="18" t="n">
        <x:v>3315.16</x:v>
      </x:c>
      <x:c r="F1949" s="18"/>
      <x:c r="G1949" s="18" t="n">
        <x:v>-3315.16</x:v>
      </x:c>
      <x:c r="H1949" s="18" t="n">
        <x:f>H1948+G1949</x:f>
        <x:v>10033312.259999977</x:v>
      </x:c>
    </x:row>
    <x:row r="1950">
      <x:c r="A1950" s="20" t="n">
        <x:v>46201</x:v>
      </x:c>
      <x:c r="B1950" s="21" t="str">
        <x:v>DP-2026-028299</x:v>
      </x:c>
      <x:c r="C1950" s="21" t="str">
        <x:v>ACH PAYMENT - Hansen-Kaufman - DP-2026-028299</x:v>
      </x:c>
      <x:c r="D1950" s="21" t="str">
        <x:v>Supplier payment</x:v>
      </x:c>
      <x:c r="E1950" s="18" t="n">
        <x:v>941.85</x:v>
      </x:c>
      <x:c r="F1950" s="18"/>
      <x:c r="G1950" s="18" t="n">
        <x:v>-941.85</x:v>
      </x:c>
      <x:c r="H1950" s="18" t="n">
        <x:f>H1949+G1950</x:f>
        <x:v>10032370.409999978</x:v>
      </x:c>
    </x:row>
    <x:row r="1951">
      <x:c r="A1951" s="20" t="n">
        <x:v>46201</x:v>
      </x:c>
      <x:c r="B1951" s="21" t="str">
        <x:v>DP-2026-028315</x:v>
      </x:c>
      <x:c r="C1951" s="21" t="str">
        <x:v>ACH PAYMENT - Peters, Terry and Zimmerman - DP-2026-028315</x:v>
      </x:c>
      <x:c r="D1951" s="21" t="str">
        <x:v>Supplier payment</x:v>
      </x:c>
      <x:c r="E1951" s="18" t="n">
        <x:v>649.69</x:v>
      </x:c>
      <x:c r="F1951" s="18"/>
      <x:c r="G1951" s="18" t="n">
        <x:v>-649.69</x:v>
      </x:c>
      <x:c r="H1951" s="18" t="n">
        <x:f>H1950+G1951</x:f>
        <x:v>10031720.719999978</x:v>
      </x:c>
    </x:row>
    <x:row r="1952">
      <x:c r="A1952" s="20" t="n">
        <x:v>46201</x:v>
      </x:c>
      <x:c r="B1952" s="21" t="str">
        <x:v>DP-2026-028357</x:v>
      </x:c>
      <x:c r="C1952" s="21" t="str">
        <x:v>ACH PAYMENT - Bell, Pruitt and David - DP-2026-028357</x:v>
      </x:c>
      <x:c r="D1952" s="21" t="str">
        <x:v>Supplier payment</x:v>
      </x:c>
      <x:c r="E1952" s="18" t="n">
        <x:v>288.11</x:v>
      </x:c>
      <x:c r="F1952" s="18"/>
      <x:c r="G1952" s="18" t="n">
        <x:v>-288.11</x:v>
      </x:c>
      <x:c r="H1952" s="18" t="n">
        <x:f>H1951+G1952</x:f>
        <x:v>10031432.609999979</x:v>
      </x:c>
    </x:row>
    <x:row r="1953">
      <x:c r="A1953" s="20" t="n">
        <x:v>46201</x:v>
      </x:c>
      <x:c r="B1953" s="21" t="str">
        <x:v>DP-2026-028382</x:v>
      </x:c>
      <x:c r="C1953" s="21" t="str">
        <x:v>ACH PAYMENT - Stokes, Mann and Keller - DP-2026-028382</x:v>
      </x:c>
      <x:c r="D1953" s="21" t="str">
        <x:v>Supplier payment</x:v>
      </x:c>
      <x:c r="E1953" s="18" t="n">
        <x:v>1002.58</x:v>
      </x:c>
      <x:c r="F1953" s="18"/>
      <x:c r="G1953" s="18" t="n">
        <x:v>-1002.58</x:v>
      </x:c>
      <x:c r="H1953" s="18" t="n">
        <x:f>H1952+G1953</x:f>
        <x:v>10030430.029999979</x:v>
      </x:c>
    </x:row>
    <x:row r="1954">
      <x:c r="A1954" s="20" t="n">
        <x:v>46201</x:v>
      </x:c>
      <x:c r="B1954" s="21" t="str">
        <x:v>DP-2026-028455</x:v>
      </x:c>
      <x:c r="C1954" s="21" t="str">
        <x:v>ACH PAYMENT - Velasquez-Baxter - DP-2026-028455</x:v>
      </x:c>
      <x:c r="D1954" s="21" t="str">
        <x:v>Supplier payment</x:v>
      </x:c>
      <x:c r="E1954" s="18" t="n">
        <x:v>1387.38</x:v>
      </x:c>
      <x:c r="F1954" s="18"/>
      <x:c r="G1954" s="18" t="n">
        <x:v>-1387.38</x:v>
      </x:c>
      <x:c r="H1954" s="18" t="n">
        <x:f>H1953+G1954</x:f>
        <x:v>10029042.649999978</x:v>
      </x:c>
    </x:row>
    <x:row r="1955">
      <x:c r="A1955" s="20" t="n">
        <x:v>46201</x:v>
      </x:c>
      <x:c r="B1955" s="21" t="str">
        <x:v>DP-2026-028471</x:v>
      </x:c>
      <x:c r="C1955" s="21" t="str">
        <x:v>ACH PAYMENT - Colon LLC - DP-2026-028471</x:v>
      </x:c>
      <x:c r="D1955" s="21" t="str">
        <x:v>Supplier payment</x:v>
      </x:c>
      <x:c r="E1955" s="18" t="n">
        <x:v>915.42</x:v>
      </x:c>
      <x:c r="F1955" s="18"/>
      <x:c r="G1955" s="18" t="n">
        <x:v>-915.42</x:v>
      </x:c>
      <x:c r="H1955" s="18" t="n">
        <x:f>H1954+G1955</x:f>
        <x:v>10028127.229999978</x:v>
      </x:c>
    </x:row>
    <x:row r="1956">
      <x:c r="A1956" s="20" t="n">
        <x:v>46201</x:v>
      </x:c>
      <x:c r="B1956" s="21" t="str">
        <x:v>DP-2026-028485</x:v>
      </x:c>
      <x:c r="C1956" s="21" t="str">
        <x:v>ACH PAYMENT - Duncan-Dawson - DP-2026-028485</x:v>
      </x:c>
      <x:c r="D1956" s="21" t="str">
        <x:v>Supplier payment</x:v>
      </x:c>
      <x:c r="E1956" s="18" t="n">
        <x:v>831.16</x:v>
      </x:c>
      <x:c r="F1956" s="18"/>
      <x:c r="G1956" s="18" t="n">
        <x:v>-831.16</x:v>
      </x:c>
      <x:c r="H1956" s="18" t="n">
        <x:f>H1955+G1956</x:f>
        <x:v>10027296.069999978</x:v>
      </x:c>
    </x:row>
    <x:row r="1957">
      <x:c r="A1957" s="20" t="n">
        <x:v>46201</x:v>
      </x:c>
      <x:c r="B1957" s="21" t="str">
        <x:v>DP-2026-028493</x:v>
      </x:c>
      <x:c r="C1957" s="21" t="str">
        <x:v>ACH PAYMENT - Peters, Terry and Zimmerman - DP-2026-028493</x:v>
      </x:c>
      <x:c r="D1957" s="21" t="str">
        <x:v>Supplier payment</x:v>
      </x:c>
      <x:c r="E1957" s="18" t="n">
        <x:v>228.33</x:v>
      </x:c>
      <x:c r="F1957" s="18"/>
      <x:c r="G1957" s="18" t="n">
        <x:v>-228.33</x:v>
      </x:c>
      <x:c r="H1957" s="18" t="n">
        <x:f>H1956+G1957</x:f>
        <x:v>10027067.739999978</x:v>
      </x:c>
    </x:row>
    <x:row r="1958">
      <x:c r="A1958" s="20" t="n">
        <x:v>46201</x:v>
      </x:c>
      <x:c r="B1958" s="21" t="str">
        <x:v>DP-2026-028497</x:v>
      </x:c>
      <x:c r="C1958" s="21" t="str">
        <x:v>ACH PAYMENT - Garcia Group - DP-2026-028497</x:v>
      </x:c>
      <x:c r="D1958" s="21" t="str">
        <x:v>Supplier payment</x:v>
      </x:c>
      <x:c r="E1958" s="18" t="n">
        <x:v>381.87</x:v>
      </x:c>
      <x:c r="F1958" s="18"/>
      <x:c r="G1958" s="18" t="n">
        <x:v>-381.87</x:v>
      </x:c>
      <x:c r="H1958" s="18" t="n">
        <x:f>H1957+G1958</x:f>
        <x:v>10026685.869999979</x:v>
      </x:c>
    </x:row>
    <x:row r="1959">
      <x:c r="A1959" s="20" t="n">
        <x:v>46201</x:v>
      </x:c>
      <x:c r="B1959" s="21" t="str">
        <x:v>DP-2026-028501</x:v>
      </x:c>
      <x:c r="C1959" s="21" t="str">
        <x:v>ACH PAYMENT - Evans PLC - DP-2026-028501</x:v>
      </x:c>
      <x:c r="D1959" s="21" t="str">
        <x:v>Supplier payment</x:v>
      </x:c>
      <x:c r="E1959" s="18" t="n">
        <x:v>46.4</x:v>
      </x:c>
      <x:c r="F1959" s="18"/>
      <x:c r="G1959" s="18" t="n">
        <x:v>-46.4</x:v>
      </x:c>
      <x:c r="H1959" s="18" t="n">
        <x:f>H1958+G1959</x:f>
        <x:v>10026639.469999978</x:v>
      </x:c>
    </x:row>
    <x:row r="1960">
      <x:c r="A1960" s="20" t="n">
        <x:v>46201</x:v>
      </x:c>
      <x:c r="B1960" s="21" t="str">
        <x:v>DP-2026-028507</x:v>
      </x:c>
      <x:c r="C1960" s="21" t="str">
        <x:v>ACH PAYMENT - Berger, Stanley and Cooper - DP-2026-028507</x:v>
      </x:c>
      <x:c r="D1960" s="21" t="str">
        <x:v>Supplier payment</x:v>
      </x:c>
      <x:c r="E1960" s="18" t="n">
        <x:v>665.34</x:v>
      </x:c>
      <x:c r="F1960" s="18"/>
      <x:c r="G1960" s="18" t="n">
        <x:v>-665.34</x:v>
      </x:c>
      <x:c r="H1960" s="18" t="n">
        <x:f>H1959+G1960</x:f>
        <x:v>10025974.129999978</x:v>
      </x:c>
    </x:row>
    <x:row r="1961">
      <x:c r="A1961" s="20" t="n">
        <x:v>46201</x:v>
      </x:c>
      <x:c r="B1961" s="21" t="str">
        <x:v>DP-2026-028528</x:v>
      </x:c>
      <x:c r="C1961" s="21" t="str">
        <x:v>ACH PAYMENT - Bell, Pruitt and David - DP-2026-028528</x:v>
      </x:c>
      <x:c r="D1961" s="21" t="str">
        <x:v>Supplier payment</x:v>
      </x:c>
      <x:c r="E1961" s="18" t="n">
        <x:v>2483.56</x:v>
      </x:c>
      <x:c r="F1961" s="18"/>
      <x:c r="G1961" s="18" t="n">
        <x:v>-2483.56</x:v>
      </x:c>
      <x:c r="H1961" s="18" t="n">
        <x:f>H1960+G1961</x:f>
        <x:v>10023490.569999978</x:v>
      </x:c>
    </x:row>
    <x:row r="1962">
      <x:c r="A1962" s="20" t="n">
        <x:v>46201</x:v>
      </x:c>
      <x:c r="B1962" s="21" t="str">
        <x:v>DP-2026-028530</x:v>
      </x:c>
      <x:c r="C1962" s="21" t="str">
        <x:v>ACH PAYMENT - Hernandez, Melendez and Mcdowell - DP-2026-028530</x:v>
      </x:c>
      <x:c r="D1962" s="21" t="str">
        <x:v>Supplier payment</x:v>
      </x:c>
      <x:c r="E1962" s="18" t="n">
        <x:v>305.75</x:v>
      </x:c>
      <x:c r="F1962" s="18"/>
      <x:c r="G1962" s="18" t="n">
        <x:v>-305.75</x:v>
      </x:c>
      <x:c r="H1962" s="18" t="n">
        <x:f>H1961+G1962</x:f>
        <x:v>10023184.819999978</x:v>
      </x:c>
    </x:row>
    <x:row r="1963">
      <x:c r="A1963" s="20" t="n">
        <x:v>46201</x:v>
      </x:c>
      <x:c r="B1963" s="21" t="str">
        <x:v>DP-2026-028533</x:v>
      </x:c>
      <x:c r="C1963" s="21" t="str">
        <x:v>ACH PAYMENT - House-Hodges - DP-2026-028533</x:v>
      </x:c>
      <x:c r="D1963" s="21" t="str">
        <x:v>Supplier payment</x:v>
      </x:c>
      <x:c r="E1963" s="18" t="n">
        <x:v>554.57</x:v>
      </x:c>
      <x:c r="F1963" s="18"/>
      <x:c r="G1963" s="18" t="n">
        <x:v>-554.57</x:v>
      </x:c>
      <x:c r="H1963" s="18" t="n">
        <x:f>H1962+G1963</x:f>
        <x:v>10022630.249999978</x:v>
      </x:c>
    </x:row>
    <x:row r="1964">
      <x:c r="A1964" s="20" t="n">
        <x:v>46201</x:v>
      </x:c>
      <x:c r="B1964" s="21" t="str">
        <x:v>DP-2026-028550</x:v>
      </x:c>
      <x:c r="C1964" s="21" t="str">
        <x:v>ACH PAYMENT - Coffey, Gross and Phelps - DP-2026-028550</x:v>
      </x:c>
      <x:c r="D1964" s="21" t="str">
        <x:v>Supplier payment</x:v>
      </x:c>
      <x:c r="E1964" s="18" t="n">
        <x:v>249.33</x:v>
      </x:c>
      <x:c r="F1964" s="18"/>
      <x:c r="G1964" s="18" t="n">
        <x:v>-249.33</x:v>
      </x:c>
      <x:c r="H1964" s="18" t="n">
        <x:f>H1963+G1964</x:f>
        <x:v>10022380.919999978</x:v>
      </x:c>
    </x:row>
    <x:row r="1965">
      <x:c r="A1965" s="20" t="n">
        <x:v>46201</x:v>
      </x:c>
      <x:c r="B1965" s="21" t="str">
        <x:v>DP-2026-028562</x:v>
      </x:c>
      <x:c r="C1965" s="21" t="str">
        <x:v>ACH PAYMENT - Brooks, Johnson and Olson - DP-2026-028562</x:v>
      </x:c>
      <x:c r="D1965" s="21" t="str">
        <x:v>Supplier payment</x:v>
      </x:c>
      <x:c r="E1965" s="18" t="n">
        <x:v>1023.65</x:v>
      </x:c>
      <x:c r="F1965" s="18"/>
      <x:c r="G1965" s="18" t="n">
        <x:v>-1023.65</x:v>
      </x:c>
      <x:c r="H1965" s="18" t="n">
        <x:f>H1964+G1965</x:f>
        <x:v>10021357.269999977</x:v>
      </x:c>
    </x:row>
    <x:row r="1966">
      <x:c r="A1966" s="20" t="n">
        <x:v>46201</x:v>
      </x:c>
      <x:c r="B1966" s="21" t="str">
        <x:v>DP-2026-028575</x:v>
      </x:c>
      <x:c r="C1966" s="21" t="str">
        <x:v>WIRE TRANSFER PAYMENT - Hester Ltd - DP-2026-028575</x:v>
      </x:c>
      <x:c r="D1966" s="21" t="str">
        <x:v>Supplier payment</x:v>
      </x:c>
      <x:c r="E1966" s="18" t="n">
        <x:v>313.09</x:v>
      </x:c>
      <x:c r="F1966" s="18"/>
      <x:c r="G1966" s="18" t="n">
        <x:v>-313.09</x:v>
      </x:c>
      <x:c r="H1966" s="18" t="n">
        <x:f>H1965+G1966</x:f>
        <x:v>10021044.179999977</x:v>
      </x:c>
    </x:row>
    <x:row r="1967">
      <x:c r="A1967" s="20" t="n">
        <x:v>46201</x:v>
      </x:c>
      <x:c r="B1967" s="21" t="str">
        <x:v>DP-2026-028582</x:v>
      </x:c>
      <x:c r="C1967" s="21" t="str">
        <x:v>ACH PAYMENT - Weeks Group - DP-2026-028582</x:v>
      </x:c>
      <x:c r="D1967" s="21" t="str">
        <x:v>Supplier payment</x:v>
      </x:c>
      <x:c r="E1967" s="18" t="n">
        <x:v>747.09</x:v>
      </x:c>
      <x:c r="F1967" s="18"/>
      <x:c r="G1967" s="18" t="n">
        <x:v>-747.09</x:v>
      </x:c>
      <x:c r="H1967" s="18" t="n">
        <x:f>H1966+G1967</x:f>
        <x:v>10020297.089999977</x:v>
      </x:c>
    </x:row>
    <x:row r="1968">
      <x:c r="A1968" s="20" t="n">
        <x:v>46201</x:v>
      </x:c>
      <x:c r="B1968" s="21" t="str">
        <x:v>DP-2026-028596</x:v>
      </x:c>
      <x:c r="C1968" s="21" t="str">
        <x:v>ACH PAYMENT - Gordon and Sons - DP-2026-028596</x:v>
      </x:c>
      <x:c r="D1968" s="21" t="str">
        <x:v>Supplier payment</x:v>
      </x:c>
      <x:c r="E1968" s="18" t="n">
        <x:v>3156.74</x:v>
      </x:c>
      <x:c r="F1968" s="18"/>
      <x:c r="G1968" s="18" t="n">
        <x:v>-3156.74</x:v>
      </x:c>
      <x:c r="H1968" s="18" t="n">
        <x:f>H1967+G1968</x:f>
        <x:v>10017140.349999977</x:v>
      </x:c>
    </x:row>
    <x:row r="1969">
      <x:c r="A1969" s="20" t="n">
        <x:v>46201</x:v>
      </x:c>
      <x:c r="B1969" s="21" t="str">
        <x:v>DP-2026-028600</x:v>
      </x:c>
      <x:c r="C1969" s="21" t="str">
        <x:v>ACH PAYMENT - Collins-Johnson - DP-2026-028600</x:v>
      </x:c>
      <x:c r="D1969" s="21" t="str">
        <x:v>Supplier payment</x:v>
      </x:c>
      <x:c r="E1969" s="18" t="n">
        <x:v>17466.8</x:v>
      </x:c>
      <x:c r="F1969" s="18"/>
      <x:c r="G1969" s="18" t="n">
        <x:v>-17466.8</x:v>
      </x:c>
      <x:c r="H1969" s="18" t="n">
        <x:f>H1968+G1969</x:f>
        <x:v>9999673.549999977</x:v>
      </x:c>
    </x:row>
    <x:row r="1970">
      <x:c r="A1970" s="20" t="n">
        <x:v>46201</x:v>
      </x:c>
      <x:c r="B1970" s="21" t="str">
        <x:v>DP-2026-028605</x:v>
      </x:c>
      <x:c r="C1970" s="21" t="str">
        <x:v>ACH PAYMENT - Bell, Pruitt and David - DP-2026-028605</x:v>
      </x:c>
      <x:c r="D1970" s="21" t="str">
        <x:v>Supplier payment</x:v>
      </x:c>
      <x:c r="E1970" s="18" t="n">
        <x:v>464.53</x:v>
      </x:c>
      <x:c r="F1970" s="18"/>
      <x:c r="G1970" s="18" t="n">
        <x:v>-464.53</x:v>
      </x:c>
      <x:c r="H1970" s="18" t="n">
        <x:f>H1969+G1970</x:f>
        <x:v>9999209.019999977</x:v>
      </x:c>
    </x:row>
    <x:row r="1971">
      <x:c r="A1971" s="20" t="n">
        <x:v>46201</x:v>
      </x:c>
      <x:c r="B1971" s="21" t="str">
        <x:v>DP-2026-028606</x:v>
      </x:c>
      <x:c r="C1971" s="21" t="str">
        <x:v>ACH PAYMENT - Williams, Baker and Santos - DP-2026-028606</x:v>
      </x:c>
      <x:c r="D1971" s="21" t="str">
        <x:v>Supplier payment</x:v>
      </x:c>
      <x:c r="E1971" s="18" t="n">
        <x:v>2948.75</x:v>
      </x:c>
      <x:c r="F1971" s="18"/>
      <x:c r="G1971" s="18" t="n">
        <x:v>-2948.75</x:v>
      </x:c>
      <x:c r="H1971" s="18" t="n">
        <x:f>H1970+G1971</x:f>
        <x:v>9996260.269999977</x:v>
      </x:c>
    </x:row>
    <x:row r="1972">
      <x:c r="A1972" s="20" t="n">
        <x:v>46201</x:v>
      </x:c>
      <x:c r="B1972" s="21" t="str">
        <x:v>DP-2026-028612</x:v>
      </x:c>
      <x:c r="C1972" s="21" t="str">
        <x:v>ACH PAYMENT - Potter-Gross - DP-2026-028612</x:v>
      </x:c>
      <x:c r="D1972" s="21" t="str">
        <x:v>Supplier payment</x:v>
      </x:c>
      <x:c r="E1972" s="18" t="n">
        <x:v>275.5</x:v>
      </x:c>
      <x:c r="F1972" s="18"/>
      <x:c r="G1972" s="18" t="n">
        <x:v>-275.5</x:v>
      </x:c>
      <x:c r="H1972" s="18" t="n">
        <x:f>H1971+G1972</x:f>
        <x:v>9995984.769999977</x:v>
      </x:c>
    </x:row>
    <x:row r="1973">
      <x:c r="A1973" s="20" t="n">
        <x:v>46201</x:v>
      </x:c>
      <x:c r="B1973" s="21" t="str">
        <x:v>DP-2026-028614</x:v>
      </x:c>
      <x:c r="C1973" s="21" t="str">
        <x:v>ACH PAYMENT - Kaufman-Williams - DP-2026-028614</x:v>
      </x:c>
      <x:c r="D1973" s="21" t="str">
        <x:v>Supplier payment</x:v>
      </x:c>
      <x:c r="E1973" s="18" t="n">
        <x:v>28.59</x:v>
      </x:c>
      <x:c r="F1973" s="18"/>
      <x:c r="G1973" s="18" t="n">
        <x:v>-28.59</x:v>
      </x:c>
      <x:c r="H1973" s="18" t="n">
        <x:f>H1972+G1973</x:f>
        <x:v>9995956.179999977</x:v>
      </x:c>
    </x:row>
    <x:row r="1974">
      <x:c r="A1974" s="20" t="n">
        <x:v>46201</x:v>
      </x:c>
      <x:c r="B1974" s="21" t="str">
        <x:v>DP-2026-028616</x:v>
      </x:c>
      <x:c r="C1974" s="21" t="str">
        <x:v>WIRE TRANSFER PAYMENT - Berger, Stanley and Cooper - DP-2026-028616</x:v>
      </x:c>
      <x:c r="D1974" s="21" t="str">
        <x:v>Supplier payment</x:v>
      </x:c>
      <x:c r="E1974" s="18" t="n">
        <x:v>807.85</x:v>
      </x:c>
      <x:c r="F1974" s="18"/>
      <x:c r="G1974" s="18" t="n">
        <x:v>-807.85</x:v>
      </x:c>
      <x:c r="H1974" s="18" t="n">
        <x:f>H1973+G1974</x:f>
        <x:v>9995148.329999978</x:v>
      </x:c>
    </x:row>
    <x:row r="1975">
      <x:c r="A1975" s="20" t="n">
        <x:v>46202</x:v>
      </x:c>
      <x:c r="B1975" s="21" t="str">
        <x:v>CHK0027213</x:v>
      </x:c>
      <x:c r="C1975" s="21" t="str">
        <x:v>CHECK PAYMENT - Munoz, Garcia and Olsen - DP-2026-027213</x:v>
      </x:c>
      <x:c r="D1975" s="21" t="str">
        <x:v>Supplier payment</x:v>
      </x:c>
      <x:c r="E1975" s="18" t="n">
        <x:v>1361.3</x:v>
      </x:c>
      <x:c r="F1975" s="18"/>
      <x:c r="G1975" s="18" t="n">
        <x:v>-1361.3</x:v>
      </x:c>
      <x:c r="H1975" s="18" t="n">
        <x:f>H1974+G1975</x:f>
        <x:v>9993787.029999977</x:v>
      </x:c>
    </x:row>
    <x:row r="1976">
      <x:c r="A1976" s="20" t="n">
        <x:v>46202</x:v>
      </x:c>
      <x:c r="B1976" s="21" t="str">
        <x:v>CHK0028454</x:v>
      </x:c>
      <x:c r="C1976" s="21" t="str">
        <x:v>CHECK PAYMENT - Bell, Pruitt and David - DP-2026-028454</x:v>
      </x:c>
      <x:c r="D1976" s="21" t="str">
        <x:v>Supplier payment</x:v>
      </x:c>
      <x:c r="E1976" s="18" t="n">
        <x:v>1381.31</x:v>
      </x:c>
      <x:c r="F1976" s="18"/>
      <x:c r="G1976" s="18" t="n">
        <x:v>-1381.31</x:v>
      </x:c>
      <x:c r="H1976" s="18" t="n">
        <x:f>H1975+G1976</x:f>
        <x:v>9992405.719999976</x:v>
      </x:c>
    </x:row>
    <x:row r="1977">
      <x:c r="A1977" s="20" t="n">
        <x:v>46202</x:v>
      </x:c>
      <x:c r="B1977" s="21" t="str">
        <x:v>CHK0028457</x:v>
      </x:c>
      <x:c r="C1977" s="21" t="str">
        <x:v>CHECK PAYMENT - Nguyen-Davis - DP-2026-028457</x:v>
      </x:c>
      <x:c r="D1977" s="21" t="str">
        <x:v>Supplier payment</x:v>
      </x:c>
      <x:c r="E1977" s="18" t="n">
        <x:v>1017.97</x:v>
      </x:c>
      <x:c r="F1977" s="18"/>
      <x:c r="G1977" s="18" t="n">
        <x:v>-1017.97</x:v>
      </x:c>
      <x:c r="H1977" s="18" t="n">
        <x:f>H1976+G1977</x:f>
        <x:v>9991387.749999976</x:v>
      </x:c>
    </x:row>
    <x:row r="1978">
      <x:c r="A1978" s="20" t="n">
        <x:v>46202</x:v>
      </x:c>
      <x:c r="B1978" s="21" t="str">
        <x:v>CHK0028481</x:v>
      </x:c>
      <x:c r="C1978" s="21" t="str">
        <x:v>CHECK PAYMENT - Keith PLC - DP-2026-028481</x:v>
      </x:c>
      <x:c r="D1978" s="21" t="str">
        <x:v>Supplier payment</x:v>
      </x:c>
      <x:c r="E1978" s="18" t="n">
        <x:v>2700.47</x:v>
      </x:c>
      <x:c r="F1978" s="18"/>
      <x:c r="G1978" s="18" t="n">
        <x:v>-2700.47</x:v>
      </x:c>
      <x:c r="H1978" s="18" t="n">
        <x:f>H1977+G1978</x:f>
        <x:v>9988687.279999975</x:v>
      </x:c>
    </x:row>
    <x:row r="1979">
      <x:c r="A1979" s="20" t="n">
        <x:v>46202</x:v>
      </x:c>
      <x:c r="B1979" s="21" t="str">
        <x:v>CHK0028487</x:v>
      </x:c>
      <x:c r="C1979" s="21" t="str">
        <x:v>CHECK PAYMENT - Henderson, Bennett and Pena - DP-2026-028487</x:v>
      </x:c>
      <x:c r="D1979" s="21" t="str">
        <x:v>Supplier payment</x:v>
      </x:c>
      <x:c r="E1979" s="18" t="n">
        <x:v>416</x:v>
      </x:c>
      <x:c r="F1979" s="18"/>
      <x:c r="G1979" s="18" t="n">
        <x:v>-416</x:v>
      </x:c>
      <x:c r="H1979" s="18" t="n">
        <x:f>H1978+G1979</x:f>
        <x:v>9988271.279999975</x:v>
      </x:c>
    </x:row>
    <x:row r="1980">
      <x:c r="A1980" s="20" t="n">
        <x:v>46202</x:v>
      </x:c>
      <x:c r="B1980" s="21" t="str">
        <x:v>CHK0028516</x:v>
      </x:c>
      <x:c r="C1980" s="21" t="str">
        <x:v>CHECK PAYMENT - Berger, Stanley and Cooper - DP-2026-028516</x:v>
      </x:c>
      <x:c r="D1980" s="21" t="str">
        <x:v>Supplier payment</x:v>
      </x:c>
      <x:c r="E1980" s="18" t="n">
        <x:v>499.13</x:v>
      </x:c>
      <x:c r="F1980" s="18"/>
      <x:c r="G1980" s="18" t="n">
        <x:v>-499.13</x:v>
      </x:c>
      <x:c r="H1980" s="18" t="n">
        <x:f>H1979+G1980</x:f>
        <x:v>9987772.149999974</x:v>
      </x:c>
    </x:row>
    <x:row r="1981">
      <x:c r="A1981" s="20" t="n">
        <x:v>46202</x:v>
      </x:c>
      <x:c r="B1981" s="21" t="str">
        <x:v>CHK0028570</x:v>
      </x:c>
      <x:c r="C1981" s="21" t="str">
        <x:v>CHECK PAYMENT - King Ltd - DP-2026-028570</x:v>
      </x:c>
      <x:c r="D1981" s="21" t="str">
        <x:v>Supplier payment</x:v>
      </x:c>
      <x:c r="E1981" s="18" t="n">
        <x:v>1902.48</x:v>
      </x:c>
      <x:c r="F1981" s="18"/>
      <x:c r="G1981" s="18" t="n">
        <x:v>-1902.48</x:v>
      </x:c>
      <x:c r="H1981" s="18" t="n">
        <x:f>H1980+G1981</x:f>
        <x:v>9985869.669999974</x:v>
      </x:c>
    </x:row>
    <x:row r="1982">
      <x:c r="A1982" s="20" t="n">
        <x:v>46202</x:v>
      </x:c>
      <x:c r="B1982" s="21" t="str">
        <x:v>CHK0028580</x:v>
      </x:c>
      <x:c r="C1982" s="21" t="str">
        <x:v>CHECK PAYMENT - Lindsey and Sons - DP-2026-028580</x:v>
      </x:c>
      <x:c r="D1982" s="21" t="str">
        <x:v>Supplier payment</x:v>
      </x:c>
      <x:c r="E1982" s="18" t="n">
        <x:v>380.24</x:v>
      </x:c>
      <x:c r="F1982" s="18"/>
      <x:c r="G1982" s="18" t="n">
        <x:v>-380.24</x:v>
      </x:c>
      <x:c r="H1982" s="18" t="n">
        <x:f>H1981+G1982</x:f>
        <x:v>9985489.429999974</x:v>
      </x:c>
    </x:row>
    <x:row r="1983">
      <x:c r="A1983" s="20" t="n">
        <x:v>46202</x:v>
      </x:c>
      <x:c r="B1983" s="21" t="str">
        <x:v>CHK0028586</x:v>
      </x:c>
      <x:c r="C1983" s="21" t="str">
        <x:v>CHECK PAYMENT - Keith PLC - DP-2026-028586</x:v>
      </x:c>
      <x:c r="D1983" s="21" t="str">
        <x:v>Supplier payment</x:v>
      </x:c>
      <x:c r="E1983" s="18" t="n">
        <x:v>75.47</x:v>
      </x:c>
      <x:c r="F1983" s="18"/>
      <x:c r="G1983" s="18" t="n">
        <x:v>-75.47</x:v>
      </x:c>
      <x:c r="H1983" s="18" t="n">
        <x:f>H1982+G1983</x:f>
        <x:v>9985413.959999973</x:v>
      </x:c>
    </x:row>
    <x:row r="1984">
      <x:c r="A1984" s="20" t="n">
        <x:v>46202</x:v>
      </x:c>
      <x:c r="B1984" s="21" t="str">
        <x:v>CHK0028621</x:v>
      </x:c>
      <x:c r="C1984" s="21" t="str">
        <x:v>CHECK PAYMENT - Gay, Clark and Hickman - DP-2026-028621</x:v>
      </x:c>
      <x:c r="D1984" s="21" t="str">
        <x:v>Supplier payment</x:v>
      </x:c>
      <x:c r="E1984" s="18" t="n">
        <x:v>907.3</x:v>
      </x:c>
      <x:c r="F1984" s="18"/>
      <x:c r="G1984" s="18" t="n">
        <x:v>-907.3</x:v>
      </x:c>
      <x:c r="H1984" s="18" t="n">
        <x:f>H1983+G1984</x:f>
        <x:v>9984506.659999972</x:v>
      </x:c>
    </x:row>
    <x:row r="1985">
      <x:c r="A1985" s="20" t="n">
        <x:v>46202</x:v>
      </x:c>
      <x:c r="B1985" s="21" t="str">
        <x:v>CHK0028634</x:v>
      </x:c>
      <x:c r="C1985" s="21" t="str">
        <x:v>CHECK PAYMENT - Gomez PLC - DP-2026-028634</x:v>
      </x:c>
      <x:c r="D1985" s="21" t="str">
        <x:v>Supplier payment</x:v>
      </x:c>
      <x:c r="E1985" s="18" t="n">
        <x:v>3682.25</x:v>
      </x:c>
      <x:c r="F1985" s="18"/>
      <x:c r="G1985" s="18" t="n">
        <x:v>-3682.25</x:v>
      </x:c>
      <x:c r="H1985" s="18" t="n">
        <x:f>H1984+G1985</x:f>
        <x:v>9980824.409999972</x:v>
      </x:c>
    </x:row>
    <x:row r="1986">
      <x:c r="A1986" s="20" t="n">
        <x:v>46202</x:v>
      </x:c>
      <x:c r="B1986" s="21" t="str">
        <x:v>CHK0028638</x:v>
      </x:c>
      <x:c r="C1986" s="21" t="str">
        <x:v>CHECK PAYMENT - Velasquez-Baxter - DP-2026-028638</x:v>
      </x:c>
      <x:c r="D1986" s="21" t="str">
        <x:v>Supplier payment</x:v>
      </x:c>
      <x:c r="E1986" s="18" t="n">
        <x:v>2862.38</x:v>
      </x:c>
      <x:c r="F1986" s="18"/>
      <x:c r="G1986" s="18" t="n">
        <x:v>-2862.38</x:v>
      </x:c>
      <x:c r="H1986" s="18" t="n">
        <x:f>H1985+G1986</x:f>
        <x:v>9977962.029999971</x:v>
      </x:c>
    </x:row>
    <x:row r="1987">
      <x:c r="A1987" s="20" t="n">
        <x:v>46202</x:v>
      </x:c>
      <x:c r="B1987" s="21" t="str">
        <x:v>DP-2026-027208</x:v>
      </x:c>
      <x:c r="C1987" s="21" t="str">
        <x:v>ACH PAYMENT - Gay, Clark and Hickman - DP-2026-027208</x:v>
      </x:c>
      <x:c r="D1987" s="21" t="str">
        <x:v>Supplier payment</x:v>
      </x:c>
      <x:c r="E1987" s="18" t="n">
        <x:v>9.37</x:v>
      </x:c>
      <x:c r="F1987" s="18"/>
      <x:c r="G1987" s="18" t="n">
        <x:v>-9.37</x:v>
      </x:c>
      <x:c r="H1987" s="18" t="n">
        <x:f>H1986+G1987</x:f>
        <x:v>9977952.659999972</x:v>
      </x:c>
    </x:row>
    <x:row r="1988">
      <x:c r="A1988" s="20" t="n">
        <x:v>46202</x:v>
      </x:c>
      <x:c r="B1988" s="21" t="str">
        <x:v>DP-2026-027222</x:v>
      </x:c>
      <x:c r="C1988" s="21" t="str">
        <x:v>ACH PAYMENT - Robinson, Yang and Mckay - DP-2026-027222</x:v>
      </x:c>
      <x:c r="D1988" s="21" t="str">
        <x:v>Supplier payment</x:v>
      </x:c>
      <x:c r="E1988" s="18" t="n">
        <x:v>1163.24</x:v>
      </x:c>
      <x:c r="F1988" s="18"/>
      <x:c r="G1988" s="18" t="n">
        <x:v>-1163.24</x:v>
      </x:c>
      <x:c r="H1988" s="18" t="n">
        <x:f>H1987+G1988</x:f>
        <x:v>9976789.419999972</x:v>
      </x:c>
    </x:row>
    <x:row r="1989">
      <x:c r="A1989" s="20" t="n">
        <x:v>46202</x:v>
      </x:c>
      <x:c r="B1989" s="21" t="str">
        <x:v>DP-2026-027225</x:v>
      </x:c>
      <x:c r="C1989" s="21" t="str">
        <x:v>ACH PAYMENT - Marks, Mitchell and Hernandez - DP-2026-027225</x:v>
      </x:c>
      <x:c r="D1989" s="21" t="str">
        <x:v>Supplier payment</x:v>
      </x:c>
      <x:c r="E1989" s="18" t="n">
        <x:v>218.75</x:v>
      </x:c>
      <x:c r="F1989" s="18"/>
      <x:c r="G1989" s="18" t="n">
        <x:v>-218.75</x:v>
      </x:c>
      <x:c r="H1989" s="18" t="n">
        <x:f>H1988+G1989</x:f>
        <x:v>9976570.669999972</x:v>
      </x:c>
    </x:row>
    <x:row r="1990">
      <x:c r="A1990" s="20" t="n">
        <x:v>46202</x:v>
      </x:c>
      <x:c r="B1990" s="21" t="str">
        <x:v>DP-2026-028282</x:v>
      </x:c>
      <x:c r="C1990" s="21" t="str">
        <x:v>ACH PAYMENT - Collins-Johnson - DP-2026-028282</x:v>
      </x:c>
      <x:c r="D1990" s="21" t="str">
        <x:v>Supplier payment</x:v>
      </x:c>
      <x:c r="E1990" s="18" t="n">
        <x:v>924.98</x:v>
      </x:c>
      <x:c r="F1990" s="18"/>
      <x:c r="G1990" s="18" t="n">
        <x:v>-924.98</x:v>
      </x:c>
      <x:c r="H1990" s="18" t="n">
        <x:f>H1989+G1990</x:f>
        <x:v>9975645.689999972</x:v>
      </x:c>
    </x:row>
    <x:row r="1991">
      <x:c r="A1991" s="20" t="n">
        <x:v>46202</x:v>
      </x:c>
      <x:c r="B1991" s="21" t="str">
        <x:v>DP-2026-028289</x:v>
      </x:c>
      <x:c r="C1991" s="21" t="str">
        <x:v>ACH PAYMENT - Peters, Terry and Zimmerman - DP-2026-028289</x:v>
      </x:c>
      <x:c r="D1991" s="21" t="str">
        <x:v>Supplier payment</x:v>
      </x:c>
      <x:c r="E1991" s="18" t="n">
        <x:v>121.2</x:v>
      </x:c>
      <x:c r="F1991" s="18"/>
      <x:c r="G1991" s="18" t="n">
        <x:v>-121.2</x:v>
      </x:c>
      <x:c r="H1991" s="18" t="n">
        <x:f>H1990+G1991</x:f>
        <x:v>9975524.489999972</x:v>
      </x:c>
    </x:row>
    <x:row r="1992">
      <x:c r="A1992" s="20" t="n">
        <x:v>46202</x:v>
      </x:c>
      <x:c r="B1992" s="21" t="str">
        <x:v>DP-2026-028294</x:v>
      </x:c>
      <x:c r="C1992" s="21" t="str">
        <x:v>ACH PAYMENT - Hester Ltd - DP-2026-028294</x:v>
      </x:c>
      <x:c r="D1992" s="21" t="str">
        <x:v>Supplier payment</x:v>
      </x:c>
      <x:c r="E1992" s="18" t="n">
        <x:v>1242.36</x:v>
      </x:c>
      <x:c r="F1992" s="18"/>
      <x:c r="G1992" s="18" t="n">
        <x:v>-1242.36</x:v>
      </x:c>
      <x:c r="H1992" s="18" t="n">
        <x:f>H1991+G1992</x:f>
        <x:v>9974282.129999973</x:v>
      </x:c>
    </x:row>
    <x:row r="1993">
      <x:c r="A1993" s="20" t="n">
        <x:v>46202</x:v>
      </x:c>
      <x:c r="B1993" s="21" t="str">
        <x:v>DP-2026-028335</x:v>
      </x:c>
      <x:c r="C1993" s="21" t="str">
        <x:v>ACH PAYMENT - Duncan-Dawson - DP-2026-028335</x:v>
      </x:c>
      <x:c r="D1993" s="21" t="str">
        <x:v>Supplier payment</x:v>
      </x:c>
      <x:c r="E1993" s="18" t="n">
        <x:v>149.38</x:v>
      </x:c>
      <x:c r="F1993" s="18"/>
      <x:c r="G1993" s="18" t="n">
        <x:v>-149.38</x:v>
      </x:c>
      <x:c r="H1993" s="18" t="n">
        <x:f>H1992+G1993</x:f>
        <x:v>9974132.749999972</x:v>
      </x:c>
    </x:row>
    <x:row r="1994">
      <x:c r="A1994" s="20" t="n">
        <x:v>46202</x:v>
      </x:c>
      <x:c r="B1994" s="21" t="str">
        <x:v>DP-2026-028391</x:v>
      </x:c>
      <x:c r="C1994" s="21" t="str">
        <x:v>ACH PAYMENT - Perez, Schultz and Ward - DP-2026-028391</x:v>
      </x:c>
      <x:c r="D1994" s="21" t="str">
        <x:v>Supplier payment</x:v>
      </x:c>
      <x:c r="E1994" s="18" t="n">
        <x:v>613.22</x:v>
      </x:c>
      <x:c r="F1994" s="18"/>
      <x:c r="G1994" s="18" t="n">
        <x:v>-613.22</x:v>
      </x:c>
      <x:c r="H1994" s="18" t="n">
        <x:f>H1993+G1994</x:f>
        <x:v>9973519.529999971</x:v>
      </x:c>
    </x:row>
    <x:row r="1995">
      <x:c r="A1995" s="20" t="n">
        <x:v>46202</x:v>
      </x:c>
      <x:c r="B1995" s="21" t="str">
        <x:v>DP-2026-028404</x:v>
      </x:c>
      <x:c r="C1995" s="21" t="str">
        <x:v>ACH PAYMENT - Velasquez-Baxter - DP-2026-028404</x:v>
      </x:c>
      <x:c r="D1995" s="21" t="str">
        <x:v>Supplier payment</x:v>
      </x:c>
      <x:c r="E1995" s="18" t="n">
        <x:v>797.01</x:v>
      </x:c>
      <x:c r="F1995" s="18"/>
      <x:c r="G1995" s="18" t="n">
        <x:v>-797.01</x:v>
      </x:c>
      <x:c r="H1995" s="18" t="n">
        <x:f>H1994+G1995</x:f>
        <x:v>9972722.519999972</x:v>
      </x:c>
    </x:row>
    <x:row r="1996">
      <x:c r="A1996" s="20" t="n">
        <x:v>46202</x:v>
      </x:c>
      <x:c r="B1996" s="21" t="str">
        <x:v>DP-2026-028460</x:v>
      </x:c>
      <x:c r="C1996" s="21" t="str">
        <x:v>ACH PAYMENT - Villarreal, Mcdonald and Scott - DP-2026-028460</x:v>
      </x:c>
      <x:c r="D1996" s="21" t="str">
        <x:v>Supplier payment</x:v>
      </x:c>
      <x:c r="E1996" s="18" t="n">
        <x:v>188.16</x:v>
      </x:c>
      <x:c r="F1996" s="18"/>
      <x:c r="G1996" s="18" t="n">
        <x:v>-188.16</x:v>
      </x:c>
      <x:c r="H1996" s="18" t="n">
        <x:f>H1995+G1996</x:f>
        <x:v>9972534.359999971</x:v>
      </x:c>
    </x:row>
    <x:row r="1997">
      <x:c r="A1997" s="20" t="n">
        <x:v>46202</x:v>
      </x:c>
      <x:c r="B1997" s="21" t="str">
        <x:v>DP-2026-028504</x:v>
      </x:c>
      <x:c r="C1997" s="21" t="str">
        <x:v>ACH PAYMENT - Thomas LLC - DP-2026-028504</x:v>
      </x:c>
      <x:c r="D1997" s="21" t="str">
        <x:v>Supplier payment</x:v>
      </x:c>
      <x:c r="E1997" s="18" t="n">
        <x:v>1411.92</x:v>
      </x:c>
      <x:c r="F1997" s="18"/>
      <x:c r="G1997" s="18" t="n">
        <x:v>-1411.92</x:v>
      </x:c>
      <x:c r="H1997" s="18" t="n">
        <x:f>H1996+G1997</x:f>
        <x:v>9971122.439999972</x:v>
      </x:c>
    </x:row>
    <x:row r="1998">
      <x:c r="A1998" s="20" t="n">
        <x:v>46202</x:v>
      </x:c>
      <x:c r="B1998" s="21" t="str">
        <x:v>DP-2026-028521</x:v>
      </x:c>
      <x:c r="C1998" s="21" t="str">
        <x:v>ACH PAYMENT - Henderson, Bennett and Pena - DP-2026-028521</x:v>
      </x:c>
      <x:c r="D1998" s="21" t="str">
        <x:v>Supplier payment</x:v>
      </x:c>
      <x:c r="E1998" s="18" t="n">
        <x:v>662.8</x:v>
      </x:c>
      <x:c r="F1998" s="18"/>
      <x:c r="G1998" s="18" t="n">
        <x:v>-662.8</x:v>
      </x:c>
      <x:c r="H1998" s="18" t="n">
        <x:f>H1997+G1998</x:f>
        <x:v>9970459.63999997</x:v>
      </x:c>
    </x:row>
    <x:row r="1999">
      <x:c r="A1999" s="20" t="n">
        <x:v>46202</x:v>
      </x:c>
      <x:c r="B1999" s="21" t="str">
        <x:v>DP-2026-028526</x:v>
      </x:c>
      <x:c r="C1999" s="21" t="str">
        <x:v>WIRE TRANSFER PAYMENT - Nguyen-Weaver - DP-2026-028526</x:v>
      </x:c>
      <x:c r="D1999" s="21" t="str">
        <x:v>Supplier payment</x:v>
      </x:c>
      <x:c r="E1999" s="18" t="n">
        <x:v>126.98</x:v>
      </x:c>
      <x:c r="F1999" s="18"/>
      <x:c r="G1999" s="18" t="n">
        <x:v>-126.98</x:v>
      </x:c>
      <x:c r="H1999" s="18" t="n">
        <x:f>H1998+G1999</x:f>
        <x:v>9970332.65999997</x:v>
      </x:c>
    </x:row>
    <x:row r="2000">
      <x:c r="A2000" s="20" t="n">
        <x:v>46202</x:v>
      </x:c>
      <x:c r="B2000" s="21" t="str">
        <x:v>DP-2026-028536</x:v>
      </x:c>
      <x:c r="C2000" s="21" t="str">
        <x:v>ACH PAYMENT - Gordon and Sons - DP-2026-028536</x:v>
      </x:c>
      <x:c r="D2000" s="21" t="str">
        <x:v>Supplier payment</x:v>
      </x:c>
      <x:c r="E2000" s="18" t="n">
        <x:v>452.12</x:v>
      </x:c>
      <x:c r="F2000" s="18"/>
      <x:c r="G2000" s="18" t="n">
        <x:v>-452.12</x:v>
      </x:c>
      <x:c r="H2000" s="18" t="n">
        <x:f>H1999+G2000</x:f>
        <x:v>9969880.539999971</x:v>
      </x:c>
    </x:row>
    <x:row r="2001">
      <x:c r="A2001" s="20" t="n">
        <x:v>46202</x:v>
      </x:c>
      <x:c r="B2001" s="21" t="str">
        <x:v>DP-2026-028538</x:v>
      </x:c>
      <x:c r="C2001" s="21" t="str">
        <x:v>ACH PAYMENT - Velasquez-Baxter - DP-2026-028538</x:v>
      </x:c>
      <x:c r="D2001" s="21" t="str">
        <x:v>Supplier payment</x:v>
      </x:c>
      <x:c r="E2001" s="18" t="n">
        <x:v>1372.14</x:v>
      </x:c>
      <x:c r="F2001" s="18"/>
      <x:c r="G2001" s="18" t="n">
        <x:v>-1372.14</x:v>
      </x:c>
      <x:c r="H2001" s="18" t="n">
        <x:f>H2000+G2001</x:f>
        <x:v>9968508.39999997</x:v>
      </x:c>
    </x:row>
    <x:row r="2002">
      <x:c r="A2002" s="20" t="n">
        <x:v>46202</x:v>
      </x:c>
      <x:c r="B2002" s="21" t="str">
        <x:v>DP-2026-028544</x:v>
      </x:c>
      <x:c r="C2002" s="21" t="str">
        <x:v>WIRE TRANSFER PAYMENT - Bell, Pruitt and David - DP-2026-028544</x:v>
      </x:c>
      <x:c r="D2002" s="21" t="str">
        <x:v>Supplier payment</x:v>
      </x:c>
      <x:c r="E2002" s="18" t="n">
        <x:v>809.95</x:v>
      </x:c>
      <x:c r="F2002" s="18"/>
      <x:c r="G2002" s="18" t="n">
        <x:v>-809.95</x:v>
      </x:c>
      <x:c r="H2002" s="18" t="n">
        <x:f>H2001+G2002</x:f>
        <x:v>9967698.449999971</x:v>
      </x:c>
    </x:row>
    <x:row r="2003">
      <x:c r="A2003" s="20" t="n">
        <x:v>46202</x:v>
      </x:c>
      <x:c r="B2003" s="21" t="str">
        <x:v>DP-2026-028557</x:v>
      </x:c>
      <x:c r="C2003" s="21" t="str">
        <x:v>WIRE TRANSFER PAYMENT - Gardner-Shelton - DP-2026-028557</x:v>
      </x:c>
      <x:c r="D2003" s="21" t="str">
        <x:v>Supplier payment</x:v>
      </x:c>
      <x:c r="E2003" s="18" t="n">
        <x:v>170.19</x:v>
      </x:c>
      <x:c r="F2003" s="18"/>
      <x:c r="G2003" s="18" t="n">
        <x:v>-170.19</x:v>
      </x:c>
      <x:c r="H2003" s="18" t="n">
        <x:f>H2002+G2003</x:f>
        <x:v>9967528.259999972</x:v>
      </x:c>
    </x:row>
    <x:row r="2004">
      <x:c r="A2004" s="20" t="n">
        <x:v>46202</x:v>
      </x:c>
      <x:c r="B2004" s="21" t="str">
        <x:v>DP-2026-028566</x:v>
      </x:c>
      <x:c r="C2004" s="21" t="str">
        <x:v>ACH PAYMENT - Whitaker-Edwards - DP-2026-028566</x:v>
      </x:c>
      <x:c r="D2004" s="21" t="str">
        <x:v>Supplier payment</x:v>
      </x:c>
      <x:c r="E2004" s="18" t="n">
        <x:v>1534.79</x:v>
      </x:c>
      <x:c r="F2004" s="18"/>
      <x:c r="G2004" s="18" t="n">
        <x:v>-1534.79</x:v>
      </x:c>
      <x:c r="H2004" s="18" t="n">
        <x:f>H2003+G2004</x:f>
        <x:v>9965993.469999973</x:v>
      </x:c>
    </x:row>
    <x:row r="2005">
      <x:c r="A2005" s="20" t="n">
        <x:v>46202</x:v>
      </x:c>
      <x:c r="B2005" s="21" t="str">
        <x:v>DP-2026-028572</x:v>
      </x:c>
      <x:c r="C2005" s="21" t="str">
        <x:v>ACH PAYMENT - Anderson-Noble - DP-2026-028572</x:v>
      </x:c>
      <x:c r="D2005" s="21" t="str">
        <x:v>Supplier payment</x:v>
      </x:c>
      <x:c r="E2005" s="18" t="n">
        <x:v>497.35</x:v>
      </x:c>
      <x:c r="F2005" s="18"/>
      <x:c r="G2005" s="18" t="n">
        <x:v>-497.35</x:v>
      </x:c>
      <x:c r="H2005" s="18" t="n">
        <x:f>H2004+G2005</x:f>
        <x:v>9965496.119999973</x:v>
      </x:c>
    </x:row>
    <x:row r="2006">
      <x:c r="A2006" s="20" t="n">
        <x:v>46202</x:v>
      </x:c>
      <x:c r="B2006" s="21" t="str">
        <x:v>DP-2026-028595</x:v>
      </x:c>
      <x:c r="C2006" s="21" t="str">
        <x:v>ACH PAYMENT - Gay, Clark and Hickman - DP-2026-028595</x:v>
      </x:c>
      <x:c r="D2006" s="21" t="str">
        <x:v>Supplier payment</x:v>
      </x:c>
      <x:c r="E2006" s="18" t="n">
        <x:v>896.86</x:v>
      </x:c>
      <x:c r="F2006" s="18"/>
      <x:c r="G2006" s="18" t="n">
        <x:v>-896.86</x:v>
      </x:c>
      <x:c r="H2006" s="18" t="n">
        <x:f>H2005+G2006</x:f>
        <x:v>9964599.259999974</x:v>
      </x:c>
    </x:row>
    <x:row r="2007">
      <x:c r="A2007" s="20" t="n">
        <x:v>46202</x:v>
      </x:c>
      <x:c r="B2007" s="21" t="str">
        <x:v>DP-2026-028597</x:v>
      </x:c>
      <x:c r="C2007" s="21" t="str">
        <x:v>ACH PAYMENT - Collins-Johnson - DP-2026-028597</x:v>
      </x:c>
      <x:c r="D2007" s="21" t="str">
        <x:v>Supplier payment</x:v>
      </x:c>
      <x:c r="E2007" s="18" t="n">
        <x:v>1076.77</x:v>
      </x:c>
      <x:c r="F2007" s="18"/>
      <x:c r="G2007" s="18" t="n">
        <x:v>-1076.77</x:v>
      </x:c>
      <x:c r="H2007" s="18" t="n">
        <x:f>H2006+G2007</x:f>
        <x:v>9963522.489999974</x:v>
      </x:c>
    </x:row>
    <x:row r="2008">
      <x:c r="A2008" s="20" t="n">
        <x:v>46202</x:v>
      </x:c>
      <x:c r="B2008" s="21" t="str">
        <x:v>DP-2026-028613</x:v>
      </x:c>
      <x:c r="C2008" s="21" t="str">
        <x:v>ACH PAYMENT - Bell, Pruitt and David - DP-2026-028613</x:v>
      </x:c>
      <x:c r="D2008" s="21" t="str">
        <x:v>Supplier payment</x:v>
      </x:c>
      <x:c r="E2008" s="18" t="n">
        <x:v>73.97</x:v>
      </x:c>
      <x:c r="F2008" s="18"/>
      <x:c r="G2008" s="18" t="n">
        <x:v>-73.97</x:v>
      </x:c>
      <x:c r="H2008" s="18" t="n">
        <x:f>H2007+G2008</x:f>
        <x:v>9963448.519999973</x:v>
      </x:c>
    </x:row>
    <x:row r="2009">
      <x:c r="A2009" s="20" t="n">
        <x:v>46202</x:v>
      </x:c>
      <x:c r="B2009" s="21" t="str">
        <x:v>DP-2026-028619</x:v>
      </x:c>
      <x:c r="C2009" s="21" t="str">
        <x:v>ACH PAYMENT - Anderson-Noble - DP-2026-028619</x:v>
      </x:c>
      <x:c r="D2009" s="21" t="str">
        <x:v>Supplier payment</x:v>
      </x:c>
      <x:c r="E2009" s="18" t="n">
        <x:v>345.75</x:v>
      </x:c>
      <x:c r="F2009" s="18"/>
      <x:c r="G2009" s="18" t="n">
        <x:v>-345.75</x:v>
      </x:c>
      <x:c r="H2009" s="18" t="n">
        <x:f>H2008+G2009</x:f>
        <x:v>9963102.769999973</x:v>
      </x:c>
    </x:row>
    <x:row r="2010">
      <x:c r="A2010" s="20" t="n">
        <x:v>46202</x:v>
      </x:c>
      <x:c r="B2010" s="21" t="str">
        <x:v>DP-2026-028625</x:v>
      </x:c>
      <x:c r="C2010" s="21" t="str">
        <x:v>ACH PAYMENT - Marks, Mitchell and Hernandez - DP-2026-028625</x:v>
      </x:c>
      <x:c r="D2010" s="21" t="str">
        <x:v>Supplier payment</x:v>
      </x:c>
      <x:c r="E2010" s="18" t="n">
        <x:v>1245.01</x:v>
      </x:c>
      <x:c r="F2010" s="18"/>
      <x:c r="G2010" s="18" t="n">
        <x:v>-1245.01</x:v>
      </x:c>
      <x:c r="H2010" s="18" t="n">
        <x:f>H2009+G2010</x:f>
        <x:v>9961857.759999974</x:v>
      </x:c>
    </x:row>
    <x:row r="2011">
      <x:c r="A2011" s="20" t="n">
        <x:v>46202</x:v>
      </x:c>
      <x:c r="B2011" s="21" t="str">
        <x:v>DP-2026-028627</x:v>
      </x:c>
      <x:c r="C2011" s="21" t="str">
        <x:v>ACH PAYMENT - Peters, Terry and Zimmerman - DP-2026-028627</x:v>
      </x:c>
      <x:c r="D2011" s="21" t="str">
        <x:v>Supplier payment</x:v>
      </x:c>
      <x:c r="E2011" s="18" t="n">
        <x:v>977.7</x:v>
      </x:c>
      <x:c r="F2011" s="18"/>
      <x:c r="G2011" s="18" t="n">
        <x:v>-977.7</x:v>
      </x:c>
      <x:c r="H2011" s="18" t="n">
        <x:f>H2010+G2011</x:f>
        <x:v>9960880.059999974</x:v>
      </x:c>
    </x:row>
    <x:row r="2012">
      <x:c r="A2012" s="20" t="n">
        <x:v>46202</x:v>
      </x:c>
      <x:c r="B2012" s="21" t="str">
        <x:v>DP-2026-028631</x:v>
      </x:c>
      <x:c r="C2012" s="21" t="str">
        <x:v>ACH PAYMENT - Peters, Terry and Zimmerman - DP-2026-028631</x:v>
      </x:c>
      <x:c r="D2012" s="21" t="str">
        <x:v>Supplier payment</x:v>
      </x:c>
      <x:c r="E2012" s="18" t="n">
        <x:v>722.65</x:v>
      </x:c>
      <x:c r="F2012" s="18"/>
      <x:c r="G2012" s="18" t="n">
        <x:v>-722.65</x:v>
      </x:c>
      <x:c r="H2012" s="18" t="n">
        <x:f>H2011+G2012</x:f>
        <x:v>9960157.409999974</x:v>
      </x:c>
    </x:row>
    <x:row r="2013">
      <x:c r="A2013" s="20" t="n">
        <x:v>46202</x:v>
      </x:c>
      <x:c r="B2013" s="21" t="str">
        <x:v>PLR-2026-000064</x:v>
      </x:c>
      <x:c r="C2013" s="21" t="str">
        <x:v>PAYROLL REMITTANCE - Federal and State Tax Agencies</x:v>
      </x:c>
      <x:c r="D2013" s="21" t="str">
        <x:v>Payroll remittance</x:v>
      </x:c>
      <x:c r="E2013" s="18" t="n">
        <x:v>37784.75</x:v>
      </x:c>
      <x:c r="F2013" s="18"/>
      <x:c r="G2013" s="18" t="n">
        <x:v>-37784.75</x:v>
      </x:c>
      <x:c r="H2013" s="18" t="n">
        <x:f>H2012+G2013</x:f>
        <x:v>9922372.659999974</x:v>
      </x:c>
    </x:row>
    <x:row r="2014">
      <x:c r="A2014" s="20" t="n">
        <x:v>46203</x:v>
      </x:c>
      <x:c r="B2014" s="21" t="str">
        <x:v>CHK0028373</x:v>
      </x:c>
      <x:c r="C2014" s="21" t="str">
        <x:v>CHECK PAYMENT - Gay, Clark and Hickman - DP-2026-028373</x:v>
      </x:c>
      <x:c r="D2014" s="21" t="str">
        <x:v>Supplier payment</x:v>
      </x:c>
      <x:c r="E2014" s="18" t="n">
        <x:v>529.35</x:v>
      </x:c>
      <x:c r="F2014" s="18"/>
      <x:c r="G2014" s="18" t="n">
        <x:v>-529.35</x:v>
      </x:c>
      <x:c r="H2014" s="18" t="n">
        <x:f>H2013+G2014</x:f>
        <x:v>9921843.309999974</x:v>
      </x:c>
    </x:row>
    <x:row r="2015">
      <x:c r="A2015" s="20" t="n">
        <x:v>46203</x:v>
      </x:c>
      <x:c r="B2015" s="21" t="str">
        <x:v>CHK0028374</x:v>
      </x:c>
      <x:c r="C2015" s="21" t="str">
        <x:v>CHECK PAYMENT - Anderson-Lara - DP-2026-028374</x:v>
      </x:c>
      <x:c r="D2015" s="21" t="str">
        <x:v>Supplier payment</x:v>
      </x:c>
      <x:c r="E2015" s="18" t="n">
        <x:v>2467.88</x:v>
      </x:c>
      <x:c r="F2015" s="18"/>
      <x:c r="G2015" s="18" t="n">
        <x:v>-2467.88</x:v>
      </x:c>
      <x:c r="H2015" s="18" t="n">
        <x:f>H2014+G2015</x:f>
        <x:v>9919375.429999974</x:v>
      </x:c>
    </x:row>
    <x:row r="2016">
      <x:c r="A2016" s="20" t="n">
        <x:v>46203</x:v>
      </x:c>
      <x:c r="B2016" s="21" t="str">
        <x:v>CHK0028411</x:v>
      </x:c>
      <x:c r="C2016" s="21" t="str">
        <x:v>CHECK PAYMENT - Villarreal, Mcdonald and Scott - DP-2026-028411</x:v>
      </x:c>
      <x:c r="D2016" s="21" t="str">
        <x:v>Supplier payment</x:v>
      </x:c>
      <x:c r="E2016" s="18" t="n">
        <x:v>5665.21</x:v>
      </x:c>
      <x:c r="F2016" s="18"/>
      <x:c r="G2016" s="18" t="n">
        <x:v>-5665.21</x:v>
      </x:c>
      <x:c r="H2016" s="18" t="n">
        <x:f>H2015+G2016</x:f>
        <x:v>9913710.219999973</x:v>
      </x:c>
    </x:row>
    <x:row r="2017">
      <x:c r="A2017" s="20" t="n">
        <x:v>46203</x:v>
      </x:c>
      <x:c r="B2017" s="21" t="str">
        <x:v>CHK0028426</x:v>
      </x:c>
      <x:c r="C2017" s="21" t="str">
        <x:v>CHECK PAYMENT - Berger, Stanley and Cooper - DP-2026-028426</x:v>
      </x:c>
      <x:c r="D2017" s="21" t="str">
        <x:v>Supplier payment</x:v>
      </x:c>
      <x:c r="E2017" s="18" t="n">
        <x:v>2864.16</x:v>
      </x:c>
      <x:c r="F2017" s="18"/>
      <x:c r="G2017" s="18" t="n">
        <x:v>-2864.16</x:v>
      </x:c>
      <x:c r="H2017" s="18" t="n">
        <x:f>H2016+G2017</x:f>
        <x:v>9910846.059999973</x:v>
      </x:c>
    </x:row>
    <x:row r="2018">
      <x:c r="A2018" s="20" t="n">
        <x:v>46203</x:v>
      </x:c>
      <x:c r="B2018" s="21" t="str">
        <x:v>CHK0028461</x:v>
      </x:c>
      <x:c r="C2018" s="21" t="str">
        <x:v>CHECK PAYMENT - Collins-Johnson - DP-2026-028461</x:v>
      </x:c>
      <x:c r="D2018" s="21" t="str">
        <x:v>Supplier payment</x:v>
      </x:c>
      <x:c r="E2018" s="18" t="n">
        <x:v>1503.05</x:v>
      </x:c>
      <x:c r="F2018" s="18"/>
      <x:c r="G2018" s="18" t="n">
        <x:v>-1503.05</x:v>
      </x:c>
      <x:c r="H2018" s="18" t="n">
        <x:f>H2017+G2018</x:f>
        <x:v>9909343.009999972</x:v>
      </x:c>
    </x:row>
    <x:row r="2019">
      <x:c r="A2019" s="20" t="n">
        <x:v>46203</x:v>
      </x:c>
      <x:c r="B2019" s="21" t="str">
        <x:v>CHK0028532</x:v>
      </x:c>
      <x:c r="C2019" s="21" t="str">
        <x:v>CHECK PAYMENT - Lindsey and Sons - DP-2026-028532</x:v>
      </x:c>
      <x:c r="D2019" s="21" t="str">
        <x:v>Supplier payment</x:v>
      </x:c>
      <x:c r="E2019" s="18" t="n">
        <x:v>87.89</x:v>
      </x:c>
      <x:c r="F2019" s="18"/>
      <x:c r="G2019" s="18" t="n">
        <x:v>-87.89</x:v>
      </x:c>
      <x:c r="H2019" s="18" t="n">
        <x:f>H2018+G2019</x:f>
        <x:v>9909255.119999971</x:v>
      </x:c>
    </x:row>
    <x:row r="2020">
      <x:c r="A2020" s="20" t="n">
        <x:v>46203</x:v>
      </x:c>
      <x:c r="B2020" s="21" t="str">
        <x:v>CHK0028552</x:v>
      </x:c>
      <x:c r="C2020" s="21" t="str">
        <x:v>CHECK PAYMENT - Powers-Daniels - DP-2026-028552</x:v>
      </x:c>
      <x:c r="D2020" s="21" t="str">
        <x:v>Supplier payment</x:v>
      </x:c>
      <x:c r="E2020" s="18" t="n">
        <x:v>695.39</x:v>
      </x:c>
      <x:c r="F2020" s="18"/>
      <x:c r="G2020" s="18" t="n">
        <x:v>-695.39</x:v>
      </x:c>
      <x:c r="H2020" s="18" t="n">
        <x:f>H2019+G2020</x:f>
        <x:v>9908559.72999997</x:v>
      </x:c>
    </x:row>
    <x:row r="2021">
      <x:c r="A2021" s="20" t="n">
        <x:v>46203</x:v>
      </x:c>
      <x:c r="B2021" s="21" t="str">
        <x:v>CHK0028560</x:v>
      </x:c>
      <x:c r="C2021" s="21" t="str">
        <x:v>CHECK PAYMENT - Bell, Pruitt and David - DP-2026-028560</x:v>
      </x:c>
      <x:c r="D2021" s="21" t="str">
        <x:v>Supplier payment</x:v>
      </x:c>
      <x:c r="E2021" s="18" t="n">
        <x:v>67.06</x:v>
      </x:c>
      <x:c r="F2021" s="18"/>
      <x:c r="G2021" s="18" t="n">
        <x:v>-67.06</x:v>
      </x:c>
      <x:c r="H2021" s="18" t="n">
        <x:f>H2020+G2021</x:f>
        <x:v>9908492.66999997</x:v>
      </x:c>
    </x:row>
    <x:row r="2022">
      <x:c r="A2022" s="20" t="n">
        <x:v>46203</x:v>
      </x:c>
      <x:c r="B2022" s="21" t="str">
        <x:v>CHK0028632</x:v>
      </x:c>
      <x:c r="C2022" s="21" t="str">
        <x:v>CHECK PAYMENT - Berger, Stanley and Cooper - DP-2026-028632</x:v>
      </x:c>
      <x:c r="D2022" s="21" t="str">
        <x:v>Supplier payment</x:v>
      </x:c>
      <x:c r="E2022" s="18" t="n">
        <x:v>24908.89</x:v>
      </x:c>
      <x:c r="F2022" s="18"/>
      <x:c r="G2022" s="18" t="n">
        <x:v>-24908.89</x:v>
      </x:c>
      <x:c r="H2022" s="18" t="n">
        <x:f>H2021+G2022</x:f>
        <x:v>9883583.77999997</x:v>
      </x:c>
    </x:row>
    <x:row r="2023">
      <x:c r="A2023" s="20" t="n">
        <x:v>46203</x:v>
      </x:c>
      <x:c r="B2023" s="21" t="str">
        <x:v>CHK0028635</x:v>
      </x:c>
      <x:c r="C2023" s="21" t="str">
        <x:v>CHECK PAYMENT - Nguyen-Davis - DP-2026-028635</x:v>
      </x:c>
      <x:c r="D2023" s="21" t="str">
        <x:v>Supplier payment</x:v>
      </x:c>
      <x:c r="E2023" s="18" t="n">
        <x:v>495.69</x:v>
      </x:c>
      <x:c r="F2023" s="18"/>
      <x:c r="G2023" s="18" t="n">
        <x:v>-495.69</x:v>
      </x:c>
      <x:c r="H2023" s="18" t="n">
        <x:f>H2022+G2023</x:f>
        <x:v>9883088.08999997</x:v>
      </x:c>
    </x:row>
    <x:row r="2024">
      <x:c r="A2024" s="20" t="n">
        <x:v>46203</x:v>
      </x:c>
      <x:c r="B2024" s="21" t="str">
        <x:v>DEP00005918</x:v>
      </x:c>
      <x:c r="C2024" s="21" t="str">
        <x:v>CUSTOMER DEPOSIT - Sanchez LLC - CR-2026-005918</x:v>
      </x:c>
      <x:c r="D2024" s="21" t="str">
        <x:v>Customer deposit</x:v>
      </x:c>
      <x:c r="E2024" s="18"/>
      <x:c r="F2024" s="18" t="n">
        <x:v>1534.5</x:v>
      </x:c>
      <x:c r="G2024" s="18" t="n">
        <x:v>1534.5</x:v>
      </x:c>
      <x:c r="H2024" s="18" t="n">
        <x:f>H2023+G2024</x:f>
        <x:v>9884622.58999997</x:v>
      </x:c>
    </x:row>
    <x:row r="2025">
      <x:c r="A2025" s="20" t="n">
        <x:v>46203</x:v>
      </x:c>
      <x:c r="B2025" s="21" t="str">
        <x:v>DP-2026-027220</x:v>
      </x:c>
      <x:c r="C2025" s="21" t="str">
        <x:v>ACH PAYMENT - Hernandez, Melendez and Mcdowell - DP-2026-027220</x:v>
      </x:c>
      <x:c r="D2025" s="21" t="str">
        <x:v>Supplier payment</x:v>
      </x:c>
      <x:c r="E2025" s="18" t="n">
        <x:v>263.4</x:v>
      </x:c>
      <x:c r="F2025" s="18"/>
      <x:c r="G2025" s="18" t="n">
        <x:v>-263.4</x:v>
      </x:c>
      <x:c r="H2025" s="18" t="n">
        <x:f>H2024+G2025</x:f>
        <x:v>9884359.18999997</x:v>
      </x:c>
    </x:row>
    <x:row r="2026">
      <x:c r="A2026" s="20" t="n">
        <x:v>46203</x:v>
      </x:c>
      <x:c r="B2026" s="21" t="str">
        <x:v>DP-2026-027229</x:v>
      </x:c>
      <x:c r="C2026" s="21" t="str">
        <x:v>ACH PAYMENT - Hernandez PLC - DP-2026-027229</x:v>
      </x:c>
      <x:c r="D2026" s="21" t="str">
        <x:v>Supplier payment</x:v>
      </x:c>
      <x:c r="E2026" s="18" t="n">
        <x:v>255.69</x:v>
      </x:c>
      <x:c r="F2026" s="18"/>
      <x:c r="G2026" s="18" t="n">
        <x:v>-255.69</x:v>
      </x:c>
      <x:c r="H2026" s="18" t="n">
        <x:f>H2025+G2026</x:f>
        <x:v>9884103.49999997</x:v>
      </x:c>
    </x:row>
    <x:row r="2027">
      <x:c r="A2027" s="20" t="n">
        <x:v>46203</x:v>
      </x:c>
      <x:c r="B2027" s="21" t="str">
        <x:v>DP-2026-028274</x:v>
      </x:c>
      <x:c r="C2027" s="21" t="str">
        <x:v>ACH PAYMENT - Keith PLC - DP-2026-028274</x:v>
      </x:c>
      <x:c r="D2027" s="21" t="str">
        <x:v>Supplier payment</x:v>
      </x:c>
      <x:c r="E2027" s="18" t="n">
        <x:v>891.13</x:v>
      </x:c>
      <x:c r="F2027" s="18"/>
      <x:c r="G2027" s="18" t="n">
        <x:v>-891.13</x:v>
      </x:c>
      <x:c r="H2027" s="18" t="n">
        <x:f>H2026+G2027</x:f>
        <x:v>9883212.36999997</x:v>
      </x:c>
    </x:row>
    <x:row r="2028">
      <x:c r="A2028" s="20" t="n">
        <x:v>46203</x:v>
      </x:c>
      <x:c r="B2028" s="21" t="str">
        <x:v>DP-2026-028297</x:v>
      </x:c>
      <x:c r="C2028" s="21" t="str">
        <x:v>ACH PAYMENT - Williams, Baker and Santos - DP-2026-028297</x:v>
      </x:c>
      <x:c r="D2028" s="21" t="str">
        <x:v>Supplier payment</x:v>
      </x:c>
      <x:c r="E2028" s="18" t="n">
        <x:v>480.65</x:v>
      </x:c>
      <x:c r="F2028" s="18"/>
      <x:c r="G2028" s="18" t="n">
        <x:v>-480.65</x:v>
      </x:c>
      <x:c r="H2028" s="18" t="n">
        <x:f>H2027+G2028</x:f>
        <x:v>9882731.719999969</x:v>
      </x:c>
    </x:row>
    <x:row r="2029">
      <x:c r="A2029" s="20" t="n">
        <x:v>46203</x:v>
      </x:c>
      <x:c r="B2029" s="21" t="str">
        <x:v>DP-2026-028316</x:v>
      </x:c>
      <x:c r="C2029" s="21" t="str">
        <x:v>WIRE TRANSFER PAYMENT - Garcia Group - DP-2026-028316</x:v>
      </x:c>
      <x:c r="D2029" s="21" t="str">
        <x:v>Supplier payment</x:v>
      </x:c>
      <x:c r="E2029" s="18" t="n">
        <x:v>554.53</x:v>
      </x:c>
      <x:c r="F2029" s="18"/>
      <x:c r="G2029" s="18" t="n">
        <x:v>-554.53</x:v>
      </x:c>
      <x:c r="H2029" s="18" t="n">
        <x:f>H2028+G2029</x:f>
        <x:v>9882177.18999997</x:v>
      </x:c>
    </x:row>
    <x:row r="2030">
      <x:c r="A2030" s="20" t="n">
        <x:v>46203</x:v>
      </x:c>
      <x:c r="B2030" s="21" t="str">
        <x:v>DP-2026-028353</x:v>
      </x:c>
      <x:c r="C2030" s="21" t="str">
        <x:v>ACH PAYMENT - Berger, Stanley and Cooper - DP-2026-028353</x:v>
      </x:c>
      <x:c r="D2030" s="21" t="str">
        <x:v>Supplier payment</x:v>
      </x:c>
      <x:c r="E2030" s="18" t="n">
        <x:v>278.63</x:v>
      </x:c>
      <x:c r="F2030" s="18"/>
      <x:c r="G2030" s="18" t="n">
        <x:v>-278.63</x:v>
      </x:c>
      <x:c r="H2030" s="18" t="n">
        <x:f>H2029+G2030</x:f>
        <x:v>9881898.559999969</x:v>
      </x:c>
    </x:row>
    <x:row r="2031">
      <x:c r="A2031" s="20" t="n">
        <x:v>46203</x:v>
      </x:c>
      <x:c r="B2031" s="21" t="str">
        <x:v>DP-2026-028355</x:v>
      </x:c>
      <x:c r="C2031" s="21" t="str">
        <x:v>ACH PAYMENT - Duran, Mccarthy and Myers - DP-2026-028355</x:v>
      </x:c>
      <x:c r="D2031" s="21" t="str">
        <x:v>Supplier payment</x:v>
      </x:c>
      <x:c r="E2031" s="18" t="n">
        <x:v>564.42</x:v>
      </x:c>
      <x:c r="F2031" s="18"/>
      <x:c r="G2031" s="18" t="n">
        <x:v>-564.42</x:v>
      </x:c>
      <x:c r="H2031" s="18" t="n">
        <x:f>H2030+G2031</x:f>
        <x:v>9881334.139999969</x:v>
      </x:c>
    </x:row>
    <x:row r="2032">
      <x:c r="A2032" s="20" t="n">
        <x:v>46203</x:v>
      </x:c>
      <x:c r="B2032" s="21" t="str">
        <x:v>DP-2026-028362</x:v>
      </x:c>
      <x:c r="C2032" s="21" t="str">
        <x:v>WIRE TRANSFER PAYMENT - Marks, Mitchell and Hernandez - DP-2026-028362</x:v>
      </x:c>
      <x:c r="D2032" s="21" t="str">
        <x:v>Supplier payment</x:v>
      </x:c>
      <x:c r="E2032" s="18" t="n">
        <x:v>991.27</x:v>
      </x:c>
      <x:c r="F2032" s="18"/>
      <x:c r="G2032" s="18" t="n">
        <x:v>-991.27</x:v>
      </x:c>
      <x:c r="H2032" s="18" t="n">
        <x:f>H2031+G2032</x:f>
        <x:v>9880342.86999997</x:v>
      </x:c>
    </x:row>
    <x:row r="2033">
      <x:c r="A2033" s="20" t="n">
        <x:v>46203</x:v>
      </x:c>
      <x:c r="B2033" s="21" t="str">
        <x:v>DP-2026-028365</x:v>
      </x:c>
      <x:c r="C2033" s="21" t="str">
        <x:v>ACH PAYMENT - Kaufman-Williams - DP-2026-028365</x:v>
      </x:c>
      <x:c r="D2033" s="21" t="str">
        <x:v>Supplier payment</x:v>
      </x:c>
      <x:c r="E2033" s="18" t="n">
        <x:v>262.95</x:v>
      </x:c>
      <x:c r="F2033" s="18"/>
      <x:c r="G2033" s="18" t="n">
        <x:v>-262.95</x:v>
      </x:c>
      <x:c r="H2033" s="18" t="n">
        <x:f>H2032+G2033</x:f>
        <x:v>9880079.91999997</x:v>
      </x:c>
    </x:row>
    <x:row r="2034">
      <x:c r="A2034" s="20" t="n">
        <x:v>46203</x:v>
      </x:c>
      <x:c r="B2034" s="21" t="str">
        <x:v>DP-2026-028428</x:v>
      </x:c>
      <x:c r="C2034" s="21" t="str">
        <x:v>ACH PAYMENT - Nguyen-Weaver - DP-2026-028428</x:v>
      </x:c>
      <x:c r="D2034" s="21" t="str">
        <x:v>Supplier payment</x:v>
      </x:c>
      <x:c r="E2034" s="18" t="n">
        <x:v>149.77</x:v>
      </x:c>
      <x:c r="F2034" s="18"/>
      <x:c r="G2034" s="18" t="n">
        <x:v>-149.77</x:v>
      </x:c>
      <x:c r="H2034" s="18" t="n">
        <x:f>H2033+G2034</x:f>
        <x:v>9879930.14999997</x:v>
      </x:c>
    </x:row>
    <x:row r="2035">
      <x:c r="A2035" s="20" t="n">
        <x:v>46203</x:v>
      </x:c>
      <x:c r="B2035" s="21" t="str">
        <x:v>DP-2026-028448</x:v>
      </x:c>
      <x:c r="C2035" s="21" t="str">
        <x:v>ACH PAYMENT - Brooks, Johnson and Olson - DP-2026-028448</x:v>
      </x:c>
      <x:c r="D2035" s="21" t="str">
        <x:v>Supplier payment</x:v>
      </x:c>
      <x:c r="E2035" s="18" t="n">
        <x:v>946.23</x:v>
      </x:c>
      <x:c r="F2035" s="18"/>
      <x:c r="G2035" s="18" t="n">
        <x:v>-946.23</x:v>
      </x:c>
      <x:c r="H2035" s="18" t="n">
        <x:f>H2034+G2035</x:f>
        <x:v>9878983.91999997</x:v>
      </x:c>
    </x:row>
    <x:row r="2036">
      <x:c r="A2036" s="20" t="n">
        <x:v>46203</x:v>
      </x:c>
      <x:c r="B2036" s="21" t="str">
        <x:v>DP-2026-028464</x:v>
      </x:c>
      <x:c r="C2036" s="21" t="str">
        <x:v>ACH PAYMENT - Briggs-Cummings - DP-2026-028464</x:v>
      </x:c>
      <x:c r="D2036" s="21" t="str">
        <x:v>Supplier payment</x:v>
      </x:c>
      <x:c r="E2036" s="18" t="n">
        <x:v>148.93</x:v>
      </x:c>
      <x:c r="F2036" s="18"/>
      <x:c r="G2036" s="18" t="n">
        <x:v>-148.93</x:v>
      </x:c>
      <x:c r="H2036" s="18" t="n">
        <x:f>H2035+G2036</x:f>
        <x:v>9878834.98999997</x:v>
      </x:c>
    </x:row>
    <x:row r="2037">
      <x:c r="A2037" s="20" t="n">
        <x:v>46203</x:v>
      </x:c>
      <x:c r="B2037" s="21" t="str">
        <x:v>DP-2026-028486</x:v>
      </x:c>
      <x:c r="C2037" s="21" t="str">
        <x:v>ACH PAYMENT - Morris, Anderson and Chang - DP-2026-028486</x:v>
      </x:c>
      <x:c r="D2037" s="21" t="str">
        <x:v>Supplier payment</x:v>
      </x:c>
      <x:c r="E2037" s="18" t="n">
        <x:v>916.61</x:v>
      </x:c>
      <x:c r="F2037" s="18"/>
      <x:c r="G2037" s="18" t="n">
        <x:v>-916.61</x:v>
      </x:c>
      <x:c r="H2037" s="18" t="n">
        <x:f>H2036+G2037</x:f>
        <x:v>9877918.379999971</x:v>
      </x:c>
    </x:row>
    <x:row r="2038">
      <x:c r="A2038" s="20" t="n">
        <x:v>46203</x:v>
      </x:c>
      <x:c r="B2038" s="21" t="str">
        <x:v>DP-2026-028495</x:v>
      </x:c>
      <x:c r="C2038" s="21" t="str">
        <x:v>ACH PAYMENT - Collins-Johnson - DP-2026-028495</x:v>
      </x:c>
      <x:c r="D2038" s="21" t="str">
        <x:v>Supplier payment</x:v>
      </x:c>
      <x:c r="E2038" s="18" t="n">
        <x:v>44.16</x:v>
      </x:c>
      <x:c r="F2038" s="18"/>
      <x:c r="G2038" s="18" t="n">
        <x:v>-44.16</x:v>
      </x:c>
      <x:c r="H2038" s="18" t="n">
        <x:f>H2037+G2038</x:f>
        <x:v>9877874.21999997</x:v>
      </x:c>
    </x:row>
    <x:row r="2039">
      <x:c r="A2039" s="20" t="n">
        <x:v>46203</x:v>
      </x:c>
      <x:c r="B2039" s="21" t="str">
        <x:v>DP-2026-028514</x:v>
      </x:c>
      <x:c r="C2039" s="21" t="str">
        <x:v>ACH PAYMENT - Lindsey and Sons - DP-2026-028514</x:v>
      </x:c>
      <x:c r="D2039" s="21" t="str">
        <x:v>Supplier payment</x:v>
      </x:c>
      <x:c r="E2039" s="18" t="n">
        <x:v>205.72</x:v>
      </x:c>
      <x:c r="F2039" s="18"/>
      <x:c r="G2039" s="18" t="n">
        <x:v>-205.72</x:v>
      </x:c>
      <x:c r="H2039" s="18" t="n">
        <x:f>H2038+G2039</x:f>
        <x:v>9877668.49999997</x:v>
      </x:c>
    </x:row>
    <x:row r="2040">
      <x:c r="A2040" s="20" t="n">
        <x:v>46203</x:v>
      </x:c>
      <x:c r="B2040" s="21" t="str">
        <x:v>DP-2026-028547</x:v>
      </x:c>
      <x:c r="C2040" s="21" t="str">
        <x:v>ACH PAYMENT - Dennis PLC - DP-2026-028547</x:v>
      </x:c>
      <x:c r="D2040" s="21" t="str">
        <x:v>Supplier payment</x:v>
      </x:c>
      <x:c r="E2040" s="18" t="n">
        <x:v>25.32</x:v>
      </x:c>
      <x:c r="F2040" s="18"/>
      <x:c r="G2040" s="18" t="n">
        <x:v>-25.32</x:v>
      </x:c>
      <x:c r="H2040" s="18" t="n">
        <x:f>H2039+G2040</x:f>
        <x:v>9877643.17999997</x:v>
      </x:c>
    </x:row>
    <x:row r="2041">
      <x:c r="A2041" s="20" t="n">
        <x:v>46203</x:v>
      </x:c>
      <x:c r="B2041" s="21" t="str">
        <x:v>DP-2026-028598</x:v>
      </x:c>
      <x:c r="C2041" s="21" t="str">
        <x:v>ACH PAYMENT - Nguyen-Davis - DP-2026-028598</x:v>
      </x:c>
      <x:c r="D2041" s="21" t="str">
        <x:v>Supplier payment</x:v>
      </x:c>
      <x:c r="E2041" s="18" t="n">
        <x:v>1756.02</x:v>
      </x:c>
      <x:c r="F2041" s="18"/>
      <x:c r="G2041" s="18" t="n">
        <x:v>-1756.02</x:v>
      </x:c>
      <x:c r="H2041" s="18" t="n">
        <x:f>H2040+G2041</x:f>
        <x:v>9875887.15999997</x:v>
      </x:c>
    </x:row>
    <x:row r="2042">
      <x:c r="A2042" s="20" t="n">
        <x:v>46203</x:v>
      </x:c>
      <x:c r="B2042" s="21" t="str">
        <x:v>DP-2026-028610</x:v>
      </x:c>
      <x:c r="C2042" s="21" t="str">
        <x:v>ACH PAYMENT - Nelson-Rocha - DP-2026-028610</x:v>
      </x:c>
      <x:c r="D2042" s="21" t="str">
        <x:v>Supplier payment</x:v>
      </x:c>
      <x:c r="E2042" s="18" t="n">
        <x:v>3.2</x:v>
      </x:c>
      <x:c r="F2042" s="18"/>
      <x:c r="G2042" s="18" t="n">
        <x:v>-3.2</x:v>
      </x:c>
      <x:c r="H2042" s="18" t="n">
        <x:f>H2041+G2042</x:f>
        <x:v>9875883.959999971</x:v>
      </x:c>
    </x:row>
    <x:row r="2043">
      <x:c r="A2043" s="20" t="n">
        <x:v>46203</x:v>
      </x:c>
      <x:c r="B2043" s="21" t="str">
        <x:v>DP-2026-028617</x:v>
      </x:c>
      <x:c r="C2043" s="21" t="str">
        <x:v>ACH PAYMENT - Kaufman-Williams - DP-2026-028617</x:v>
      </x:c>
      <x:c r="D2043" s="21" t="str">
        <x:v>Supplier payment</x:v>
      </x:c>
      <x:c r="E2043" s="18" t="n">
        <x:v>388.93</x:v>
      </x:c>
      <x:c r="F2043" s="18"/>
      <x:c r="G2043" s="18" t="n">
        <x:v>-388.93</x:v>
      </x:c>
      <x:c r="H2043" s="18" t="n">
        <x:f>H2042+G2043</x:f>
        <x:v>9875495.029999971</x:v>
      </x:c>
    </x:row>
    <x:row r="2044">
      <x:c r="A2044" s="20" t="n">
        <x:v>46203</x:v>
      </x:c>
      <x:c r="B2044" s="21" t="str">
        <x:v>DP-2026-028620</x:v>
      </x:c>
      <x:c r="C2044" s="21" t="str">
        <x:v>ACH PAYMENT - Bell, Pruitt and David - DP-2026-028620</x:v>
      </x:c>
      <x:c r="D2044" s="21" t="str">
        <x:v>Supplier payment</x:v>
      </x:c>
      <x:c r="E2044" s="18" t="n">
        <x:v>1842.61</x:v>
      </x:c>
      <x:c r="F2044" s="18"/>
      <x:c r="G2044" s="18" t="n">
        <x:v>-1842.61</x:v>
      </x:c>
      <x:c r="H2044" s="18" t="n">
        <x:f>H2043+G2044</x:f>
        <x:v>9873652.419999972</x:v>
      </x:c>
    </x:row>
    <x:row r="2045">
      <x:c r="A2045" s="20" t="n">
        <x:v>46203</x:v>
      </x:c>
      <x:c r="B2045" s="21" t="str">
        <x:v>DP-2026-028622</x:v>
      </x:c>
      <x:c r="C2045" s="21" t="str">
        <x:v>ACH PAYMENT - Thomas LLC - DP-2026-028622</x:v>
      </x:c>
      <x:c r="D2045" s="21" t="str">
        <x:v>Supplier payment</x:v>
      </x:c>
      <x:c r="E2045" s="18" t="n">
        <x:v>20.63</x:v>
      </x:c>
      <x:c r="F2045" s="18"/>
      <x:c r="G2045" s="18" t="n">
        <x:v>-20.63</x:v>
      </x:c>
      <x:c r="H2045" s="18" t="n">
        <x:f>H2044+G2045</x:f>
        <x:v>9873631.789999971</x:v>
      </x:c>
    </x:row>
    <x:row r="2046">
      <x:c r="A2046" s="20" t="n">
        <x:v>46203</x:v>
      </x:c>
      <x:c r="B2046" s="21" t="str">
        <x:v>DP-2026-028628</x:v>
      </x:c>
      <x:c r="C2046" s="21" t="str">
        <x:v>WIRE TRANSFER PAYMENT - Gordon and Sons - DP-2026-028628</x:v>
      </x:c>
      <x:c r="D2046" s="21" t="str">
        <x:v>Supplier payment</x:v>
      </x:c>
      <x:c r="E2046" s="18" t="n">
        <x:v>857.33</x:v>
      </x:c>
      <x:c r="F2046" s="18"/>
      <x:c r="G2046" s="18" t="n">
        <x:v>-857.33</x:v>
      </x:c>
      <x:c r="H2046" s="18" t="n">
        <x:f>H2045+G2046</x:f>
        <x:v>9872774.459999971</x:v>
      </x:c>
    </x:row>
    <x:row r="2047">
      <x:c r="A2047" s="20" t="n">
        <x:v>46203</x:v>
      </x:c>
      <x:c r="B2047" s="21" t="str">
        <x:v>DP-2026-028644</x:v>
      </x:c>
      <x:c r="C2047" s="21" t="str">
        <x:v>ACH PAYMENT - Collins-Johnson - DP-2026-028644</x:v>
      </x:c>
      <x:c r="D2047" s="21" t="str">
        <x:v>Supplier payment</x:v>
      </x:c>
      <x:c r="E2047" s="18" t="n">
        <x:v>167.29</x:v>
      </x:c>
      <x:c r="F2047" s="18"/>
      <x:c r="G2047" s="18" t="n">
        <x:v>-167.29</x:v>
      </x:c>
      <x:c r="H2047" s="18" t="n">
        <x:f>H2046+G2047</x:f>
        <x:v>9872607.169999972</x:v>
      </x:c>
    </x:row>
    <x:row r="2048">
      <x:c r="A2048" s="20" t="n">
        <x:v>46203</x:v>
      </x:c>
      <x:c r="B2048" s="21" t="str">
        <x:v>INT-0630</x:v>
      </x:c>
      <x:c r="C2048" s="21" t="str">
        <x:v>MONTHLY INTEREST CREDIT</x:v>
      </x:c>
      <x:c r="D2048" s="21" t="str">
        <x:v>Interest income</x:v>
      </x:c>
      <x:c r="E2048" s="18"/>
      <x:c r="F2048" s="18" t="n">
        <x:v>842.17</x:v>
      </x:c>
      <x:c r="G2048" s="18" t="n">
        <x:v>842.17</x:v>
      </x:c>
      <x:c r="H2048" s="18" t="n">
        <x:f>H2047+G2048</x:f>
        <x:v>9873449.339999972</x:v>
      </x:c>
    </x:row>
    <x:row r="2049">
      <x:c r="A2049" s="20" t="n">
        <x:v>46203</x:v>
      </x:c>
      <x:c r="B2049" s="21" t="str">
        <x:v>JE-2026-000112</x:v>
      </x:c>
      <x:c r="C2049" s="21" t="str">
        <x:v>UTILITIES EXPENSE FOR 2026-06</x:v>
      </x:c>
      <x:c r="D2049" s="21" t="str">
        <x:v>Journal entry</x:v>
      </x:c>
      <x:c r="E2049" s="18" t="n">
        <x:v>10390.26</x:v>
      </x:c>
      <x:c r="F2049" s="18"/>
      <x:c r="G2049" s="18" t="n">
        <x:v>-10390.26</x:v>
      </x:c>
      <x:c r="H2049" s="18" t="n">
        <x:f>H2048+G2049</x:f>
        <x:v>9863059.079999972</x:v>
      </x:c>
    </x:row>
    <x:row r="2050">
      <x:c r="A2050" s="22" t="n">
        <x:v>46203</x:v>
      </x:c>
      <x:c r="B2050" s="23" t="str">
        <x:v>PLR-2026-000065</x:v>
      </x:c>
      <x:c r="C2050" s="23" t="str">
        <x:v>PAYROLL REMITTANCE - Payroll Tax Agencies</x:v>
      </x:c>
      <x:c r="D2050" s="23" t="str">
        <x:v>Payroll remittance</x:v>
      </x:c>
      <x:c r="E2050" s="19" t="n">
        <x:v>21339.55</x:v>
      </x:c>
      <x:c r="F2050" s="19"/>
      <x:c r="G2050" s="19" t="n">
        <x:v>-21339.55</x:v>
      </x:c>
      <x:c r="H2050" s="19" t="n">
        <x:f>H2049+G2050</x:f>
        <x:v>9841719.529999971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24" t="str">
        <x:v>About This Simulated Bank Statement</x:v>
      </x:c>
      <x:c r="B1" s="24"/>
      <x:c r="C1" s="24"/>
      <x:c r="D1" s="24"/>
      <x:c r="E1" s="24"/>
      <x:c r="F1" s="24"/>
    </x:row>
    <x:row r="3">
      <x:c r="A3" s="6" t="str">
        <x:v>Purpose</x:v>
      </x:c>
      <x:c r="B3" s="26" t="str">
        <x:v>External bank-side input for a portfolio reconciliation and controls analytics project.</x:v>
      </x:c>
    </x:row>
    <x:row r="4">
      <x:c r="A4" s="6" t="str">
        <x:v>Statement period</x:v>
      </x:c>
      <x:c r="B4" s="26" t="str">
        <x:v>2026-06-01 through 2026-06-30</x:v>
      </x:c>
    </x:row>
    <x:row r="5">
      <x:c r="A5" s="6" t="str">
        <x:v>Source dataset</x:v>
      </x:c>
      <x:c r="B5" s="26" t="str">
        <x:v>Charles River Accounting Dataset</x:v>
      </x:c>
    </x:row>
    <x:row r="6">
      <x:c r="A6" s="6" t="str">
        <x:v>Source URL</x:v>
      </x:c>
      <x:c r="B6" s="26" t="str">
        <x:v>https://charlesriver.accountinganalyticshub.com/</x:v>
      </x:c>
    </x:row>
    <x:row r="7">
      <x:c r="A7" s="6" t="str">
        <x:v>Dataset license</x:v>
      </x:c>
      <x:c r="B7" s="26" t="str">
        <x:v>CC BY-SA 4.0</x:v>
      </x:c>
    </x:row>
    <x:row r="8">
      <x:c r="A8" s="6" t="str">
        <x:v>License URL</x:v>
      </x:c>
      <x:c r="B8" s="26" t="str">
        <x:v>https://creativecommons.org/licenses/by-sa/4.0/</x:v>
      </x:c>
    </x:row>
    <x:row r="9">
      <x:c r="A9" s="6" t="str">
        <x:v>Changes made</x:v>
      </x:c>
      <x:c r="B9" s="26" t="str">
        <x:v>Cash-related accounting events were transformed into bank-style transactions using clearing dates. Four bank-originated exception scenarios were added for later reconciliation testing.</x:v>
      </x:c>
    </x:row>
    <x:row r="10">
      <x:c r="A10" s="6" t="str">
        <x:v>Important</x:v>
      </x:c>
      <x:c r="B10" s="26" t="str">
        <x:v>All entities and transactions are synthetic. This workbook contains no real customer or bank information.</x:v>
      </x:c>
    </x:row>
    <x:row r="11">
      <x:c r="B11" s="26"/>
    </x:row>
    <x:row r="12">
      <x:c r="A12" s="25" t="str">
        <x:v>Generation and Control Notes</x:v>
      </x:c>
      <x:c r="B12" s="27"/>
      <x:c r="C12" s="25"/>
      <x:c r="D12" s="25"/>
      <x:c r="E12" s="25"/>
      <x:c r="F12" s="25"/>
    </x:row>
    <x:row r="13">
      <x:c r="B13" s="26"/>
    </x:row>
    <x:row r="14">
      <x:c r="A14" s="6" t="str">
        <x:v>Cash account</x:v>
      </x:c>
      <x:c r="B14" s="26" t="str">
        <x:v>AccountID 2 — Cash and Cash Equivalents</x:v>
      </x:c>
    </x:row>
    <x:row r="15">
      <x:c r="A15" s="6" t="str">
        <x:v>Date basis</x:v>
      </x:c>
      <x:c r="B15" s="26" t="str">
        <x:v>Operational clearing/deposit dates; deterministic 0–2 day lag for manual cash journal entries</x:v>
      </x:c>
    </x:row>
    <x:row r="16">
      <x:c r="A16" s="6" t="str">
        <x:v>Sign convention</x:v>
      </x:c>
      <x:c r="B16" s="26" t="str">
        <x:v>Deposits are positive; withdrawals are negative</x:v>
      </x:c>
    </x:row>
    <x:row r="17">
      <x:c r="A17" s="6" t="str">
        <x:v>Opening balance</x:v>
      </x:c>
      <x:c r="B17" s="26" t="str">
        <x:v>Calculated from all simulated bank-cleared cash activity before 2026-06-01</x:v>
      </x:c>
    </x:row>
    <x:row r="18">
      <x:c r="A18" s="6" t="str">
        <x:v>Reproducibility</x:v>
      </x:c>
      <x:c r="B18" s="26" t="str">
        <x:v>The underlying transformation is deterministic and suitable for reconciliation testing</x:v>
      </x:c>
    </x:row>
  </x:sheetData>
  <x:mergeCells>
    <x:mergeCell ref="A1:F1"/>
    <x:mergeCell ref="A12:F12"/>
  </x:mergeCells>
  <x:pageMargins left="0.7" right="0.7" top="0.75" bottom="0.75" header="0.3" footer="0.3"/>
</x:worksheet>
</file>